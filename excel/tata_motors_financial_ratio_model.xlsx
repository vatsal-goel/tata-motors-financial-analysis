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Github Project\Tata Motors Financial Analysis\excel\"/>
    </mc:Choice>
  </mc:AlternateContent>
  <xr:revisionPtr revIDLastSave="0" documentId="13_ncr:1_{B7647E53-A7BB-4F2B-8B68-CA112FE262E6}" xr6:coauthVersionLast="44" xr6:coauthVersionMax="44" xr10:uidLastSave="{00000000-0000-0000-0000-000000000000}"/>
  <bookViews>
    <workbookView xWindow="-96" yWindow="-96" windowWidth="23232" windowHeight="13152" tabRatio="718" xr2:uid="{00000000-000D-0000-FFFF-FFFF00000000}"/>
  </bookViews>
  <sheets>
    <sheet name="Dashboard Summary" sheetId="1" r:id="rId1"/>
    <sheet name="Income Statement" sheetId="2" r:id="rId2"/>
    <sheet name="Balance Sheet" sheetId="3" r:id="rId3"/>
    <sheet name="Cash Flow Statement" sheetId="4" r:id="rId4"/>
    <sheet name="Financial Ratios" sheetId="5" r:id="rId5"/>
    <sheet name="Growth Analysis" sheetId="6" r:id="rId6"/>
    <sheet name="Business Health Scorecard" sheetId="7" r:id="rId7"/>
    <sheet name="Source No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" i="7" l="1"/>
  <c r="B9" i="7"/>
  <c r="F8" i="7"/>
  <c r="E7" i="7"/>
  <c r="C7" i="7"/>
  <c r="B6" i="7"/>
  <c r="E5" i="7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F9" i="7" s="1"/>
  <c r="E5" i="6"/>
  <c r="E9" i="7" s="1"/>
  <c r="D5" i="6"/>
  <c r="D9" i="7" s="1"/>
  <c r="C5" i="6"/>
  <c r="F18" i="5"/>
  <c r="E18" i="5"/>
  <c r="D18" i="5"/>
  <c r="C18" i="5"/>
  <c r="B18" i="5"/>
  <c r="F17" i="5"/>
  <c r="E17" i="5"/>
  <c r="D17" i="5"/>
  <c r="C17" i="5"/>
  <c r="B17" i="5"/>
  <c r="F16" i="5"/>
  <c r="E16" i="5"/>
  <c r="E8" i="7" s="1"/>
  <c r="D16" i="5"/>
  <c r="D8" i="7" s="1"/>
  <c r="C16" i="5"/>
  <c r="C8" i="7" s="1"/>
  <c r="B16" i="5"/>
  <c r="B8" i="7" s="1"/>
  <c r="F15" i="5"/>
  <c r="E15" i="5"/>
  <c r="D15" i="5"/>
  <c r="C15" i="5"/>
  <c r="B15" i="5"/>
  <c r="F14" i="5"/>
  <c r="F7" i="7" s="1"/>
  <c r="E14" i="5"/>
  <c r="D14" i="5"/>
  <c r="D19" i="1" s="1"/>
  <c r="C14" i="5"/>
  <c r="B14" i="5"/>
  <c r="B7" i="7" s="1"/>
  <c r="F13" i="5"/>
  <c r="E13" i="5"/>
  <c r="D13" i="5"/>
  <c r="C13" i="5"/>
  <c r="B13" i="5"/>
  <c r="F12" i="5"/>
  <c r="E12" i="5"/>
  <c r="D12" i="5"/>
  <c r="C12" i="5"/>
  <c r="B12" i="5"/>
  <c r="F11" i="5"/>
  <c r="F6" i="7" s="1"/>
  <c r="E11" i="5"/>
  <c r="E6" i="7" s="1"/>
  <c r="D11" i="5"/>
  <c r="D6" i="7" s="1"/>
  <c r="C11" i="5"/>
  <c r="C6" i="7" s="1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F5" i="7" s="1"/>
  <c r="E5" i="5"/>
  <c r="E18" i="1" s="1"/>
  <c r="D5" i="5"/>
  <c r="D5" i="7" s="1"/>
  <c r="C5" i="5"/>
  <c r="C5" i="7" s="1"/>
  <c r="B5" i="5"/>
  <c r="B5" i="7" s="1"/>
  <c r="B10" i="7" s="1"/>
  <c r="F19" i="1"/>
  <c r="E19" i="1"/>
  <c r="C19" i="1"/>
  <c r="F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B11" i="1"/>
  <c r="B10" i="1"/>
  <c r="B9" i="1"/>
  <c r="B8" i="1"/>
  <c r="B7" i="1"/>
  <c r="B6" i="1"/>
  <c r="B5" i="1"/>
  <c r="B20" i="1" l="1"/>
  <c r="B11" i="7"/>
  <c r="C10" i="7"/>
  <c r="F10" i="7"/>
  <c r="E10" i="7"/>
  <c r="B19" i="1"/>
  <c r="D7" i="7"/>
  <c r="D10" i="7" s="1"/>
  <c r="D11" i="7" l="1"/>
  <c r="D20" i="1"/>
  <c r="E11" i="7"/>
  <c r="E20" i="1"/>
  <c r="F11" i="7"/>
  <c r="F20" i="1"/>
  <c r="B12" i="1"/>
  <c r="C20" i="1"/>
  <c r="C11" i="7"/>
</calcChain>
</file>

<file path=xl/sharedStrings.xml><?xml version="1.0" encoding="utf-8"?>
<sst xmlns="http://schemas.openxmlformats.org/spreadsheetml/2006/main" count="182" uniqueCount="134">
  <si>
    <t>Tata Motors Financial Ratio Model</t>
  </si>
  <si>
    <t>Executive summary dashboard for the Tata Motors Financial Performance &amp; Business Health Analysis project. Units are INR crore unless stated otherwise.</t>
  </si>
  <si>
    <t>Latest Year KPI</t>
  </si>
  <si>
    <t>FY2025</t>
  </si>
  <si>
    <t>Interpretation</t>
  </si>
  <si>
    <t>Key Project Takeaways</t>
  </si>
  <si>
    <t>Revenue from Operations</t>
  </si>
  <si>
    <t>Topline scale of Tata Motors Group</t>
  </si>
  <si>
    <t>Revenue recovered strongly from FY2021 levels and reached its highest level in FY2025.</t>
  </si>
  <si>
    <t>Profit After Tax</t>
  </si>
  <si>
    <t>Bottom-line profitability</t>
  </si>
  <si>
    <t>Profitability turned around from losses in FY2021-FY2022 to positive PAT from FY2023 onward.</t>
  </si>
  <si>
    <t>Net Profit Margin</t>
  </si>
  <si>
    <t>Profit generated per rupee of revenue</t>
  </si>
  <si>
    <t>Leverage reduced materially by FY2025, supporting a stronger business health score.</t>
  </si>
  <si>
    <t>Current Ratio</t>
  </si>
  <si>
    <t>Short-term liquidity position</t>
  </si>
  <si>
    <t>Cash flow strength remains an important driver to monitor because auto free cash flow supports reinvestment and debt control.</t>
  </si>
  <si>
    <t>Debt-to-Equity Ratio</t>
  </si>
  <si>
    <t>Leverage position</t>
  </si>
  <si>
    <t>Operating Cash Flow Margin</t>
  </si>
  <si>
    <t>Cash conversion from operations</t>
  </si>
  <si>
    <t>Auto Free Cash Flow</t>
  </si>
  <si>
    <t>Cash left after automotive investment needs</t>
  </si>
  <si>
    <t>Business Health Score</t>
  </si>
  <si>
    <t>Overall model score out of 100</t>
  </si>
  <si>
    <t>Financial Year</t>
  </si>
  <si>
    <t>FY2021</t>
  </si>
  <si>
    <t>FY2022</t>
  </si>
  <si>
    <t>FY2023</t>
  </si>
  <si>
    <t>FY2024</t>
  </si>
  <si>
    <t>Revenue</t>
  </si>
  <si>
    <t>PAT</t>
  </si>
  <si>
    <t>Debt-to-Equity</t>
  </si>
  <si>
    <t>Health Score</t>
  </si>
  <si>
    <t>Income Statement</t>
  </si>
  <si>
    <t>Consolidated Tata Motors figures. Unit: INR crore. Blue values are hardcoded source inputs extracted from annual reports.</t>
  </si>
  <si>
    <t>Metric</t>
  </si>
  <si>
    <t>Other Income</t>
  </si>
  <si>
    <t>Total Income</t>
  </si>
  <si>
    <t>Cost of Materials Consumed</t>
  </si>
  <si>
    <t>Purchase of Products for Sale</t>
  </si>
  <si>
    <t>Employee Benefits Expense</t>
  </si>
  <si>
    <t>Finance Costs</t>
  </si>
  <si>
    <t>Depreciation &amp; Amortisation Expense</t>
  </si>
  <si>
    <t>Product Development / Engineering Expenses</t>
  </si>
  <si>
    <t>Other Expenses</t>
  </si>
  <si>
    <t>Total Expenses</t>
  </si>
  <si>
    <t>Profit Before Tax</t>
  </si>
  <si>
    <t>Tax Expense / Credit</t>
  </si>
  <si>
    <t>Profit After Tax / Profit for Year</t>
  </si>
  <si>
    <t>Balance Sheet</t>
  </si>
  <si>
    <t>Consolidated year-end balance sheet figures. Unit: INR crore. Blue values are hardcoded source inputs extracted from annual reports.</t>
  </si>
  <si>
    <t>Total Assets</t>
  </si>
  <si>
    <t>Total Equity</t>
  </si>
  <si>
    <t>Total Non-Current Assets</t>
  </si>
  <si>
    <t>Current Assets</t>
  </si>
  <si>
    <t>Cash and Cash Equivalents</t>
  </si>
  <si>
    <t>Current Investments</t>
  </si>
  <si>
    <t>Total Non-Current Liabilities</t>
  </si>
  <si>
    <t>Current Liabilities</t>
  </si>
  <si>
    <t>Non-Current Borrowings</t>
  </si>
  <si>
    <t>Current Borrowings</t>
  </si>
  <si>
    <t>Cash Flow Statement</t>
  </si>
  <si>
    <t>Consolidated cash flow figures. Unit: INR crore. Blue values are hardcoded source inputs extracted from annual reports.</t>
  </si>
  <si>
    <t>Net Cash from Operating Activities</t>
  </si>
  <si>
    <t>Net Cash Used in Investing Activities</t>
  </si>
  <si>
    <t>Net Cash from Financing Activities</t>
  </si>
  <si>
    <t>Total Capex Payments</t>
  </si>
  <si>
    <t>Closing Cash and Cash Equivalents</t>
  </si>
  <si>
    <t>Financial Ratios</t>
  </si>
  <si>
    <t>Formula-driven analysis sheet. Green formula cells link to the statement sheets in this workbook.</t>
  </si>
  <si>
    <t>PBT Margin</t>
  </si>
  <si>
    <t>Expense-to-Income Ratio</t>
  </si>
  <si>
    <t>Return on Assets (ROA)</t>
  </si>
  <si>
    <t>Return on Equity (ROE)</t>
  </si>
  <si>
    <t>Asset Turnover Ratio</t>
  </si>
  <si>
    <t>Cash Ratio</t>
  </si>
  <si>
    <t>Working Capital (INR crore)</t>
  </si>
  <si>
    <t>Debt Ratio</t>
  </si>
  <si>
    <t>Free Cash Flow Margin</t>
  </si>
  <si>
    <t>Capex-to-Revenue Ratio</t>
  </si>
  <si>
    <t>Growth Analysis</t>
  </si>
  <si>
    <t>Formula-driven year-on-year growth analysis based on the financial statements and ratios.</t>
  </si>
  <si>
    <t>Revenue Growth</t>
  </si>
  <si>
    <t>PAT Growth</t>
  </si>
  <si>
    <t>Total Assets Growth</t>
  </si>
  <si>
    <t>Total Borrowings Growth</t>
  </si>
  <si>
    <t>Operating Cash Flow Growth</t>
  </si>
  <si>
    <t>Auto Free Cash Flow Growth</t>
  </si>
  <si>
    <t>Business Health Score Change</t>
  </si>
  <si>
    <t>Business Health Scorecard</t>
  </si>
  <si>
    <t>Scoring model out of 100 using profitability, liquidity, debt control, cash flow strength, and growth quality.</t>
  </si>
  <si>
    <t>Component</t>
  </si>
  <si>
    <t>Profitability Strength</t>
  </si>
  <si>
    <t>Liquidity Strength</t>
  </si>
  <si>
    <t>Debt Control</t>
  </si>
  <si>
    <t>Cash Flow Strength</t>
  </si>
  <si>
    <t>Growth Quality</t>
  </si>
  <si>
    <t>Total Business Health Score</t>
  </si>
  <si>
    <t>Health Rating</t>
  </si>
  <si>
    <t>Scoring Logic</t>
  </si>
  <si>
    <t>Profitability: Net profit margin &gt; 5% = 20, &gt; 0% = 12, otherwise 4</t>
  </si>
  <si>
    <t>Liquidity: Current ratio &gt;= 1.2 = 20, &gt;= 1.0 = 14, otherwise 8</t>
  </si>
  <si>
    <t>Debt Control: Debt-to-equity &lt; 0.5 = 20, &lt; 1.0 = 15, &lt; 2.0 = 10, otherwise 5</t>
  </si>
  <si>
    <t>Cash Flow: Operating cash flow margin &gt; 10% = 20, &gt; 5% = 14, otherwise 8</t>
  </si>
  <si>
    <t>Growth Quality: revenue and PAT both improving = 20, revenue improving = 12, otherwise 6</t>
  </si>
  <si>
    <t>Source Notes</t>
  </si>
  <si>
    <t>Plain-text source URLs and file names used for the model inputs.</t>
  </si>
  <si>
    <t>Source Type</t>
  </si>
  <si>
    <t>File / URL</t>
  </si>
  <si>
    <t>Use in Workbook</t>
  </si>
  <si>
    <t>Annual Reports Page</t>
  </si>
  <si>
    <t>https://www.tatamotors.com/annual-reports/</t>
  </si>
  <si>
    <t>Source for FY2021-FY2025 integrated annual reports</t>
  </si>
  <si>
    <t>FY2020-21 Annual Report</t>
  </si>
  <si>
    <t>tata-motor-IAR-2020-21.pdf</t>
  </si>
  <si>
    <t>FY2021 consolidated income statement, balance sheet and cash flow inputs</t>
  </si>
  <si>
    <t>FY2021-22 Annual Report</t>
  </si>
  <si>
    <t>tata-motor-IAR-2021-22.pdf</t>
  </si>
  <si>
    <t>FY2022 consolidated income statement, balance sheet and cash flow inputs</t>
  </si>
  <si>
    <t>FY2022-23 Annual Report</t>
  </si>
  <si>
    <t>tata-motor-IAR-2022-23.pdf</t>
  </si>
  <si>
    <t>FY2023 consolidated income statement, balance sheet and cash flow inputs</t>
  </si>
  <si>
    <t>FY2023-24 Annual Report</t>
  </si>
  <si>
    <t>tata-motor-IAR-2023-24.pdf</t>
  </si>
  <si>
    <t>FY2024 consolidated income statement, balance sheet and cash flow inputs</t>
  </si>
  <si>
    <t>FY2024-25 Annual Report</t>
  </si>
  <si>
    <t>tata-motor-IAR-2024-25.pdf</t>
  </si>
  <si>
    <t>FY2025 consolidated income statement, balance sheet and cash flow inputs</t>
  </si>
  <si>
    <t>Model Note</t>
  </si>
  <si>
    <t>Blue font = hardcoded source input; green font = workbook links/formulas; values are in INR crore unless marked as ratios or percentages.</t>
  </si>
  <si>
    <t>Formatting and model convention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</si>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</sst>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[Red]\(#,##0.00\);\-"/>
    <numFmt numFmtId="165" formatCode="0.0%;[Red]\(0.0%\);\-"/>
    <numFmt numFmtId="166" formatCode="0.00\x;[Red]\(0.00\x\);\-"/>
    <numFmt numFmtId="167" formatCode="0.0;[Red]\(0.0\);\-"/>
    <numFmt numFmtId="173" formatCode="0.0;\-;0.0"/>
    <numFmt numFmtId="174" formatCode="0.0"/>
  </numFmts>
  <fonts count="10">
    <font>
      <sz val="11"/>
      <name val="Carlito"/>
    </font>
    <font>
      <b/>
      <sz val="16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b/>
      <sz val="11"/>
      <name val="Carlito"/>
    </font>
    <font>
      <b/>
      <sz val="11"/>
      <color rgb="FF008000"/>
      <name val="Carlito"/>
    </font>
    <font>
      <sz val="11"/>
      <name val="Carlito"/>
    </font>
    <font>
      <sz val="11"/>
      <color rgb="FF0B6B4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8" fillId="0" borderId="7"/>
    <xf numFmtId="0" fontId="8" fillId="0" borderId="7"/>
    <xf numFmtId="0" fontId="8" fillId="0" borderId="7"/>
  </cellStyleXfs>
  <cellXfs count="68">
    <xf numFmtId="0" fontId="0" fillId="0" borderId="0" xfId="0"/>
    <xf numFmtId="0" fontId="3" fillId="2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4" xfId="0" applyNumberFormat="1" applyFont="1" applyFill="1" applyBorder="1" applyAlignment="1">
      <alignment wrapText="1"/>
    </xf>
    <xf numFmtId="164" fontId="5" fillId="0" borderId="0" xfId="0" applyNumberFormat="1" applyFont="1" applyFill="1" applyBorder="1"/>
    <xf numFmtId="165" fontId="5" fillId="0" borderId="0" xfId="0" applyNumberFormat="1" applyFont="1" applyFill="1" applyBorder="1"/>
    <xf numFmtId="166" fontId="5" fillId="0" borderId="0" xfId="0" applyNumberFormat="1" applyFont="1" applyFill="1" applyBorder="1"/>
    <xf numFmtId="167" fontId="5" fillId="0" borderId="0" xfId="0" applyNumberFormat="1" applyFont="1" applyFill="1" applyBorder="1"/>
    <xf numFmtId="0" fontId="0" fillId="5" borderId="8" xfId="0" applyNumberFormat="1" applyFont="1" applyFill="1" applyBorder="1" applyAlignment="1">
      <alignment horizontal="center" wrapText="1"/>
    </xf>
    <xf numFmtId="0" fontId="0" fillId="0" borderId="8" xfId="0" applyBorder="1" applyAlignment="1"/>
    <xf numFmtId="0" fontId="0" fillId="5" borderId="8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6" fontId="7" fillId="4" borderId="8" xfId="0" applyNumberFormat="1" applyFont="1" applyFill="1" applyBorder="1" applyAlignment="1">
      <alignment horizontal="center" vertical="center"/>
    </xf>
    <xf numFmtId="167" fontId="7" fillId="4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165" fontId="5" fillId="0" borderId="8" xfId="0" applyNumberFormat="1" applyFont="1" applyFill="1" applyBorder="1" applyAlignment="1">
      <alignment horizontal="center" vertical="center"/>
    </xf>
    <xf numFmtId="166" fontId="5" fillId="0" borderId="8" xfId="0" applyNumberFormat="1" applyFont="1" applyFill="1" applyBorder="1" applyAlignment="1">
      <alignment horizontal="center" vertical="center"/>
    </xf>
    <xf numFmtId="167" fontId="5" fillId="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 wrapText="1"/>
    </xf>
    <xf numFmtId="164" fontId="4" fillId="0" borderId="8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0" fillId="0" borderId="14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Fill="1" applyBorder="1" applyAlignment="1">
      <alignment horizontal="center" vertical="center"/>
    </xf>
    <xf numFmtId="164" fontId="4" fillId="0" borderId="16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 wrapText="1"/>
    </xf>
    <xf numFmtId="165" fontId="5" fillId="0" borderId="13" xfId="0" applyNumberFormat="1" applyFont="1" applyFill="1" applyBorder="1" applyAlignment="1">
      <alignment horizontal="center" vertical="center"/>
    </xf>
    <xf numFmtId="166" fontId="5" fillId="0" borderId="13" xfId="0" applyNumberFormat="1" applyFont="1" applyFill="1" applyBorder="1" applyAlignment="1">
      <alignment horizontal="center" vertical="center"/>
    </xf>
    <xf numFmtId="164" fontId="5" fillId="0" borderId="13" xfId="0" applyNumberFormat="1" applyFont="1" applyFill="1" applyBorder="1" applyAlignment="1">
      <alignment horizontal="center" vertical="center"/>
    </xf>
    <xf numFmtId="165" fontId="5" fillId="0" borderId="15" xfId="0" applyNumberFormat="1" applyFont="1" applyFill="1" applyBorder="1" applyAlignment="1">
      <alignment horizontal="center" vertical="center"/>
    </xf>
    <xf numFmtId="165" fontId="5" fillId="0" borderId="16" xfId="0" applyNumberFormat="1" applyFont="1" applyFill="1" applyBorder="1" applyAlignment="1">
      <alignment horizontal="center" vertical="center"/>
    </xf>
    <xf numFmtId="167" fontId="5" fillId="0" borderId="13" xfId="0" applyNumberFormat="1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center" vertical="center"/>
    </xf>
    <xf numFmtId="0" fontId="6" fillId="3" borderId="8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NumberFormat="1" applyFont="1" applyFill="1" applyBorder="1" applyAlignment="1">
      <alignment vertical="center" wrapText="1"/>
    </xf>
    <xf numFmtId="0" fontId="3" fillId="2" borderId="1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3" fontId="9" fillId="0" borderId="8" xfId="2" applyNumberFormat="1" applyFont="1" applyFill="1" applyBorder="1" applyAlignment="1">
      <alignment horizontal="center" vertical="center"/>
    </xf>
    <xf numFmtId="173" fontId="0" fillId="0" borderId="7" xfId="3" quotePrefix="1" applyNumberFormat="1" applyFont="1" applyFill="1" applyBorder="1" applyAlignment="1">
      <alignment horizontal="center" vertical="center"/>
    </xf>
    <xf numFmtId="174" fontId="0" fillId="0" borderId="8" xfId="0" applyNumberFormat="1" applyBorder="1" applyAlignment="1">
      <alignment horizontal="center" vertical="center"/>
    </xf>
    <xf numFmtId="165" fontId="5" fillId="0" borderId="8" xfId="0" quotePrefix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CDEC13A9-FC0F-491E-811F-1EA09BF4AE8D}"/>
    <cellStyle name="Normal 3" xfId="2" xr:uid="{9609D4F3-6424-4109-A1A4-6E50B9AA29E2}"/>
    <cellStyle name="Normal 4" xfId="3" xr:uid="{00D77D6E-C1F1-4BC9-85E6-2E9961F26550}"/>
  </cellStyles>
  <dxfs count="74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and PAT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FY2021</c:v>
          </c:tx>
          <c:cat>
            <c:strRef>
              <c:f>'Dashboard Summary'!$A$16:$A$17</c:f>
              <c:strCache>
                <c:ptCount val="2"/>
                <c:pt idx="0">
                  <c:v>Revenue</c:v>
                </c:pt>
                <c:pt idx="1">
                  <c:v>PAT</c:v>
                </c:pt>
              </c:strCache>
            </c:strRef>
          </c:cat>
          <c:val>
            <c:numRef>
              <c:f>'Dashboard Summary'!$B$16:$B$17</c:f>
              <c:numCache>
                <c:formatCode>#,##0.00;[Red]\(#,##0.00\);\-</c:formatCode>
                <c:ptCount val="2"/>
                <c:pt idx="0">
                  <c:v>249794.75</c:v>
                </c:pt>
                <c:pt idx="1">
                  <c:v>-13395.1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D-4CD9-8594-13DD18915D21}"/>
            </c:ext>
          </c:extLst>
        </c:ser>
        <c:ser>
          <c:idx val="1"/>
          <c:order val="1"/>
          <c:tx>
            <c:v>FY2022</c:v>
          </c:tx>
          <c:cat>
            <c:strRef>
              <c:f>'Dashboard Summary'!$A$16:$A$17</c:f>
              <c:strCache>
                <c:ptCount val="2"/>
                <c:pt idx="0">
                  <c:v>Revenue</c:v>
                </c:pt>
                <c:pt idx="1">
                  <c:v>PAT</c:v>
                </c:pt>
              </c:strCache>
            </c:strRef>
          </c:cat>
          <c:val>
            <c:numRef>
              <c:f>'Dashboard Summary'!$C$16:$C$17</c:f>
              <c:numCache>
                <c:formatCode>#,##0.00;[Red]\(#,##0.00\);\-</c:formatCode>
                <c:ptCount val="2"/>
                <c:pt idx="0">
                  <c:v>278453.62</c:v>
                </c:pt>
                <c:pt idx="1">
                  <c:v>-11308.76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D-4CD9-8594-13DD18915D21}"/>
            </c:ext>
          </c:extLst>
        </c:ser>
        <c:ser>
          <c:idx val="2"/>
          <c:order val="2"/>
          <c:tx>
            <c:v>FY2023</c:v>
          </c:tx>
          <c:cat>
            <c:strRef>
              <c:f>'Dashboard Summary'!$A$16:$A$17</c:f>
              <c:strCache>
                <c:ptCount val="2"/>
                <c:pt idx="0">
                  <c:v>Revenue</c:v>
                </c:pt>
                <c:pt idx="1">
                  <c:v>PAT</c:v>
                </c:pt>
              </c:strCache>
            </c:strRef>
          </c:cat>
          <c:val>
            <c:numRef>
              <c:f>'Dashboard Summary'!$D$16:$D$17</c:f>
              <c:numCache>
                <c:formatCode>#,##0.00;[Red]\(#,##0.00\);\-</c:formatCode>
                <c:ptCount val="2"/>
                <c:pt idx="0">
                  <c:v>345966.97</c:v>
                </c:pt>
                <c:pt idx="1">
                  <c:v>2689.87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D-4CD9-8594-13DD18915D21}"/>
            </c:ext>
          </c:extLst>
        </c:ser>
        <c:ser>
          <c:idx val="3"/>
          <c:order val="3"/>
          <c:tx>
            <c:v>FY2024</c:v>
          </c:tx>
          <c:cat>
            <c:strRef>
              <c:f>'Dashboard Summary'!$A$16:$A$17</c:f>
              <c:strCache>
                <c:ptCount val="2"/>
                <c:pt idx="0">
                  <c:v>Revenue</c:v>
                </c:pt>
                <c:pt idx="1">
                  <c:v>PAT</c:v>
                </c:pt>
              </c:strCache>
            </c:strRef>
          </c:cat>
          <c:val>
            <c:numRef>
              <c:f>'Dashboard Summary'!$E$16:$E$17</c:f>
              <c:numCache>
                <c:formatCode>#,##0.00;[Red]\(#,##0.00\);\-</c:formatCode>
                <c:ptCount val="2"/>
                <c:pt idx="0">
                  <c:v>437927.77</c:v>
                </c:pt>
                <c:pt idx="1">
                  <c:v>31806.75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ED-4CD9-8594-13DD18915D21}"/>
            </c:ext>
          </c:extLst>
        </c:ser>
        <c:ser>
          <c:idx val="4"/>
          <c:order val="4"/>
          <c:tx>
            <c:v>FY2025</c:v>
          </c:tx>
          <c:cat>
            <c:strRef>
              <c:f>'Dashboard Summary'!$A$16:$A$17</c:f>
              <c:strCache>
                <c:ptCount val="2"/>
                <c:pt idx="0">
                  <c:v>Revenue</c:v>
                </c:pt>
                <c:pt idx="1">
                  <c:v>PAT</c:v>
                </c:pt>
              </c:strCache>
            </c:strRef>
          </c:cat>
          <c:val>
            <c:numRef>
              <c:f>'Dashboard Summary'!$F$16:$F$17</c:f>
            </c:numRef>
          </c:val>
          <c:smooth val="0"/>
          <c:extLst>
            <c:ext xmlns:c16="http://schemas.microsoft.com/office/drawing/2014/chart" uri="{C3380CC4-5D6E-409C-BE32-E72D297353CC}">
              <c16:uniqueId val="{00000004-99ED-4CD9-8594-13DD1891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[Red]\(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Margins, Leverage and Health Score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Ref>
              <c:f>'Dashboard Summary'!$A$18:$A$20</c:f>
              <c:strCache>
                <c:ptCount val="3"/>
                <c:pt idx="0">
                  <c:v>Net Profit Margin</c:v>
                </c:pt>
                <c:pt idx="1">
                  <c:v>Debt-to-Equity</c:v>
                </c:pt>
                <c:pt idx="2">
                  <c:v>Health Score</c:v>
                </c:pt>
              </c:strCache>
            </c:strRef>
          </c:cat>
          <c:val>
            <c:numRef>
              <c:f>'Dashboard Summary'!$B$18:$B$20</c:f>
              <c:numCache>
                <c:formatCode>0.00\x;[Red]\(0.00\x\);\-</c:formatCode>
                <c:ptCount val="3"/>
                <c:pt idx="0" formatCode="0.0%;[Red]\(0.0%\);\-">
                  <c:v>-5.3624425653461497E-2</c:v>
                </c:pt>
                <c:pt idx="1">
                  <c:v>2.0199777508742049</c:v>
                </c:pt>
                <c:pt idx="2" formatCode="0.0;[Red]\(0.0\);\-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E-476C-A211-FE7C3CED2FA8}"/>
            </c:ext>
          </c:extLst>
        </c:ser>
        <c:ser>
          <c:idx val="1"/>
          <c:order val="1"/>
          <c:tx>
            <c:v>Series 2</c:v>
          </c:tx>
          <c:cat>
            <c:strRef>
              <c:f>'Dashboard Summary'!$A$18:$A$20</c:f>
              <c:strCache>
                <c:ptCount val="3"/>
                <c:pt idx="0">
                  <c:v>Net Profit Margin</c:v>
                </c:pt>
                <c:pt idx="1">
                  <c:v>Debt-to-Equity</c:v>
                </c:pt>
                <c:pt idx="2">
                  <c:v>Health Score</c:v>
                </c:pt>
              </c:strCache>
            </c:strRef>
          </c:cat>
          <c:val>
            <c:numRef>
              <c:f>'Dashboard Summary'!$C$18:$C$20</c:f>
              <c:numCache>
                <c:formatCode>0.00\x;[Red]\(0.00\x\);\-</c:formatCode>
                <c:ptCount val="3"/>
                <c:pt idx="0" formatCode="0.0%;[Red]\(0.0%\);\-">
                  <c:v>-4.0612723943039421E-2</c:v>
                </c:pt>
                <c:pt idx="1">
                  <c:v>2.8603412085853011</c:v>
                </c:pt>
                <c:pt idx="2" formatCode="0.0;[Red]\(0.0\);\-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E-476C-A211-FE7C3CED2FA8}"/>
            </c:ext>
          </c:extLst>
        </c:ser>
        <c:ser>
          <c:idx val="2"/>
          <c:order val="2"/>
          <c:tx>
            <c:v>Series 3</c:v>
          </c:tx>
          <c:cat>
            <c:strRef>
              <c:f>'Dashboard Summary'!$A$18:$A$20</c:f>
              <c:strCache>
                <c:ptCount val="3"/>
                <c:pt idx="0">
                  <c:v>Net Profit Margin</c:v>
                </c:pt>
                <c:pt idx="1">
                  <c:v>Debt-to-Equity</c:v>
                </c:pt>
                <c:pt idx="2">
                  <c:v>Health Score</c:v>
                </c:pt>
              </c:strCache>
            </c:strRef>
          </c:cat>
          <c:val>
            <c:numRef>
              <c:f>'Dashboard Summary'!$D$18:$D$20</c:f>
              <c:numCache>
                <c:formatCode>0.00\x;[Red]\(0.00\x\);\-</c:formatCode>
                <c:ptCount val="3"/>
                <c:pt idx="0" formatCode="0.0%;[Red]\(0.0%\);\-">
                  <c:v>7.7749329654215257E-3</c:v>
                </c:pt>
                <c:pt idx="1">
                  <c:v>2.3890045743772137</c:v>
                </c:pt>
                <c:pt idx="2" formatCode="0.0;[Red]\(0.0\);\-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E-476C-A211-FE7C3CED2FA8}"/>
            </c:ext>
          </c:extLst>
        </c:ser>
        <c:ser>
          <c:idx val="3"/>
          <c:order val="3"/>
          <c:tx>
            <c:v>Series 4</c:v>
          </c:tx>
          <c:cat>
            <c:strRef>
              <c:f>'Dashboard Summary'!$A$18:$A$20</c:f>
              <c:strCache>
                <c:ptCount val="3"/>
                <c:pt idx="0">
                  <c:v>Net Profit Margin</c:v>
                </c:pt>
                <c:pt idx="1">
                  <c:v>Debt-to-Equity</c:v>
                </c:pt>
                <c:pt idx="2">
                  <c:v>Health Score</c:v>
                </c:pt>
              </c:strCache>
            </c:strRef>
          </c:cat>
          <c:val>
            <c:numRef>
              <c:f>'Dashboard Summary'!$E$18:$E$20</c:f>
              <c:numCache>
                <c:formatCode>0.00\x;[Red]\(0.00\x\);\-</c:formatCode>
                <c:ptCount val="3"/>
                <c:pt idx="0" formatCode="0.0%;[Red]\(0.0%\);\-">
                  <c:v>7.2630128023166929E-2</c:v>
                </c:pt>
                <c:pt idx="1">
                  <c:v>1.0580720998673061</c:v>
                </c:pt>
                <c:pt idx="2" formatCode="0.0;[Red]\(0.0\);\-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2E-476C-A211-FE7C3CED2FA8}"/>
            </c:ext>
          </c:extLst>
        </c:ser>
        <c:ser>
          <c:idx val="4"/>
          <c:order val="4"/>
          <c:tx>
            <c:v>Series 5</c:v>
          </c:tx>
          <c:cat>
            <c:strRef>
              <c:f>'Dashboard Summary'!$A$18:$A$20</c:f>
              <c:strCache>
                <c:ptCount val="3"/>
                <c:pt idx="0">
                  <c:v>Net Profit Margin</c:v>
                </c:pt>
                <c:pt idx="1">
                  <c:v>Debt-to-Equity</c:v>
                </c:pt>
                <c:pt idx="2">
                  <c:v>Health Score</c:v>
                </c:pt>
              </c:strCache>
            </c:strRef>
          </c:cat>
          <c:val>
            <c:numRef>
              <c:f>'Dashboard Summary'!$F$18:$F$20</c:f>
            </c:numRef>
          </c:val>
          <c:smooth val="0"/>
          <c:extLst>
            <c:ext xmlns:c16="http://schemas.microsoft.com/office/drawing/2014/chart" uri="{C3380CC4-5D6E-409C-BE32-E72D297353CC}">
              <c16:uniqueId val="{00000004-AC2E-476C-A211-FE7C3CED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5</xdr:col>
      <xdr:colOff>0</xdr:colOff>
      <xdr:row>42</xdr:row>
      <xdr:rowOff>11430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11430</xdr:rowOff>
    </xdr:from>
    <xdr:to>
      <xdr:col>8</xdr:col>
      <xdr:colOff>11430</xdr:colOff>
      <xdr:row>62</xdr:row>
      <xdr:rowOff>163830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BC4502E7-240D-4A18-8346-D797F5841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StatementTable" displayName="IncomeStatementTable" ref="A4:F18" headerRowDxfId="73" dataDxfId="71" totalsRowDxfId="69" headerRowBorderDxfId="72" tableBorderDxfId="70">
  <tableColumns count="6">
    <tableColumn id="1" xr3:uid="{00000000-0010-0000-0000-000001000000}" name="Metric" dataDxfId="68"/>
    <tableColumn id="2" xr3:uid="{00000000-0010-0000-0000-000002000000}" name="FY2021" dataDxfId="67"/>
    <tableColumn id="3" xr3:uid="{00000000-0010-0000-0000-000003000000}" name="FY2022" dataDxfId="66"/>
    <tableColumn id="4" xr3:uid="{00000000-0010-0000-0000-000004000000}" name="FY2023" dataDxfId="65"/>
    <tableColumn id="5" xr3:uid="{00000000-0010-0000-0000-000005000000}" name="FY2024" dataDxfId="64"/>
    <tableColumn id="6" xr3:uid="{00000000-0010-0000-0000-000006000000}" name="FY2025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anceSheetTable" displayName="BalanceSheetTable" ref="A4:F14" headerRowDxfId="62" dataDxfId="61" totalsRowDxfId="60">
  <tableColumns count="6">
    <tableColumn id="1" xr3:uid="{00000000-0010-0000-0100-000001000000}" name="Metric" dataDxfId="59"/>
    <tableColumn id="2" xr3:uid="{00000000-0010-0000-0100-000002000000}" name="FY2021" dataDxfId="58"/>
    <tableColumn id="3" xr3:uid="{00000000-0010-0000-0100-000003000000}" name="FY2022" dataDxfId="57"/>
    <tableColumn id="4" xr3:uid="{00000000-0010-0000-0100-000004000000}" name="FY2023" dataDxfId="56"/>
    <tableColumn id="5" xr3:uid="{00000000-0010-0000-0100-000005000000}" name="FY2024" dataDxfId="55"/>
    <tableColumn id="6" xr3:uid="{00000000-0010-0000-0100-000006000000}" name="FY2025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FlowStatementTable" displayName="CashFlowStatementTable" ref="A4:F10" headerRowDxfId="53" dataDxfId="52" totalsRowDxfId="51">
  <tableColumns count="6">
    <tableColumn id="1" xr3:uid="{00000000-0010-0000-0200-000001000000}" name="Metric" dataDxfId="50"/>
    <tableColumn id="2" xr3:uid="{00000000-0010-0000-0200-000002000000}" name="FY2021" dataDxfId="49"/>
    <tableColumn id="3" xr3:uid="{00000000-0010-0000-0200-000003000000}" name="FY2022" dataDxfId="48"/>
    <tableColumn id="4" xr3:uid="{00000000-0010-0000-0200-000004000000}" name="FY2023" dataDxfId="47"/>
    <tableColumn id="5" xr3:uid="{00000000-0010-0000-0200-000005000000}" name="FY2024" dataDxfId="46"/>
    <tableColumn id="6" xr3:uid="{00000000-0010-0000-0200-000006000000}" name="FY2025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nancialRatiosTable" displayName="FinancialRatiosTable" ref="A4:F18" headerRowDxfId="44" dataDxfId="42" totalsRowDxfId="40" headerRowBorderDxfId="43" tableBorderDxfId="41">
  <tableColumns count="6">
    <tableColumn id="1" xr3:uid="{00000000-0010-0000-0300-000001000000}" name="Metric" dataDxfId="39"/>
    <tableColumn id="2" xr3:uid="{00000000-0010-0000-0300-000002000000}" name="FY2021" dataDxfId="38"/>
    <tableColumn id="3" xr3:uid="{00000000-0010-0000-0300-000003000000}" name="FY2022" dataDxfId="37"/>
    <tableColumn id="4" xr3:uid="{00000000-0010-0000-0300-000004000000}" name="FY2023" dataDxfId="36"/>
    <tableColumn id="5" xr3:uid="{00000000-0010-0000-0300-000005000000}" name="FY2024" dataDxfId="35"/>
    <tableColumn id="6" xr3:uid="{00000000-0010-0000-0300-000006000000}" name="FY2025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rowthAnalysisTable" displayName="GrowthAnalysisTable" ref="A4:F11" headerRowDxfId="33" dataDxfId="31" totalsRowDxfId="29" headerRowBorderDxfId="32" tableBorderDxfId="30">
  <tableColumns count="6">
    <tableColumn id="1" xr3:uid="{00000000-0010-0000-0400-000001000000}" name="Metric" dataDxfId="28"/>
    <tableColumn id="2" xr3:uid="{00000000-0010-0000-0400-000002000000}" name="FY2021" dataDxfId="0"/>
    <tableColumn id="3" xr3:uid="{00000000-0010-0000-0400-000003000000}" name="FY2022" dataDxfId="27"/>
    <tableColumn id="4" xr3:uid="{00000000-0010-0000-0400-000004000000}" name="FY2023" dataDxfId="26"/>
    <tableColumn id="5" xr3:uid="{00000000-0010-0000-0400-000005000000}" name="FY2024" dataDxfId="25"/>
    <tableColumn id="6" xr3:uid="{00000000-0010-0000-0400-000006000000}" name="FY2025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usinessHealthScorecardTable" displayName="BusinessHealthScorecardTable" ref="A4:F11" headerRowDxfId="23" dataDxfId="21" totalsRowDxfId="19" headerRowBorderDxfId="22" tableBorderDxfId="20">
  <tableColumns count="6">
    <tableColumn id="1" xr3:uid="{00000000-0010-0000-0500-000001000000}" name="Component" dataDxfId="18"/>
    <tableColumn id="2" xr3:uid="{00000000-0010-0000-0500-000002000000}" name="FY2021" dataDxfId="17"/>
    <tableColumn id="3" xr3:uid="{00000000-0010-0000-0500-000003000000}" name="FY2022" dataDxfId="16"/>
    <tableColumn id="4" xr3:uid="{00000000-0010-0000-0500-000004000000}" name="FY2023" dataDxfId="15"/>
    <tableColumn id="5" xr3:uid="{00000000-0010-0000-0500-000005000000}" name="FY2024" dataDxfId="14"/>
    <tableColumn id="6" xr3:uid="{00000000-0010-0000-0500-000006000000}" name="FY2025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NotesTable" displayName="SourceNotesTable" ref="A4:C11" headerRowDxfId="12" dataDxfId="10" totalsRowDxfId="8" headerRowBorderDxfId="11" tableBorderDxfId="9">
  <tableColumns count="3">
    <tableColumn id="1" xr3:uid="{00000000-0010-0000-0600-000001000000}" name="Source Type" dataDxfId="7"/>
    <tableColumn id="2" xr3:uid="{00000000-0010-0000-0600-000002000000}" name="File / URL" dataDxfId="6"/>
    <tableColumn id="3" xr3:uid="{00000000-0010-0000-0600-000003000000}" name="Use in Workbook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52" sqref="J52"/>
    </sheetView>
  </sheetViews>
  <sheetFormatPr defaultRowHeight="13.8"/>
  <cols>
    <col min="1" max="1" width="28" customWidth="1"/>
    <col min="2" max="2" width="16" customWidth="1"/>
    <col min="3" max="3" width="48" customWidth="1"/>
    <col min="4" max="4" width="10.76171875" customWidth="1"/>
    <col min="5" max="5" width="30.28515625" customWidth="1"/>
    <col min="6" max="8" width="22" hidden="1" customWidth="1"/>
  </cols>
  <sheetData>
    <row r="1" spans="1:8" ht="34.799999999999997" customHeight="1">
      <c r="A1" s="57" t="s">
        <v>0</v>
      </c>
      <c r="B1" s="58"/>
      <c r="C1" s="58"/>
      <c r="D1" s="58"/>
      <c r="E1" s="58"/>
      <c r="F1" s="58"/>
    </row>
    <row r="2" spans="1:8" ht="25.8" customHeight="1">
      <c r="A2" s="59" t="s">
        <v>1</v>
      </c>
      <c r="B2" s="60"/>
      <c r="C2" s="60"/>
      <c r="D2" s="60"/>
      <c r="E2" s="60"/>
      <c r="F2" s="60"/>
    </row>
    <row r="3" spans="1:8" ht="0.6" customHeight="1"/>
    <row r="4" spans="1:8" ht="21.3" customHeight="1">
      <c r="A4" s="13" t="s">
        <v>2</v>
      </c>
      <c r="B4" s="13" t="s">
        <v>3</v>
      </c>
      <c r="C4" s="13" t="s">
        <v>4</v>
      </c>
      <c r="E4" s="12" t="s">
        <v>5</v>
      </c>
      <c r="F4" s="10"/>
      <c r="G4" s="10"/>
      <c r="H4" s="10"/>
    </row>
    <row r="5" spans="1:8" ht="65.400000000000006" customHeight="1">
      <c r="A5" s="14" t="s">
        <v>6</v>
      </c>
      <c r="B5" s="15">
        <f>'Income Statement'!F5</f>
        <v>439695</v>
      </c>
      <c r="C5" s="14" t="s">
        <v>7</v>
      </c>
      <c r="E5" s="11" t="s">
        <v>8</v>
      </c>
      <c r="F5" s="9"/>
      <c r="G5" s="9"/>
      <c r="H5" s="9"/>
    </row>
    <row r="6" spans="1:8" ht="72.900000000000006" customHeight="1">
      <c r="A6" s="14" t="s">
        <v>9</v>
      </c>
      <c r="B6" s="15">
        <f>'Income Statement'!F18</f>
        <v>28149</v>
      </c>
      <c r="C6" s="14" t="s">
        <v>10</v>
      </c>
      <c r="E6" s="11" t="s">
        <v>11</v>
      </c>
      <c r="F6" s="9"/>
      <c r="G6" s="9"/>
      <c r="H6" s="9"/>
    </row>
    <row r="7" spans="1:8" ht="69.599999999999994" customHeight="1">
      <c r="A7" s="14" t="s">
        <v>12</v>
      </c>
      <c r="B7" s="16">
        <f>'Financial Ratios'!F5</f>
        <v>6.4019377068194994E-2</v>
      </c>
      <c r="C7" s="14" t="s">
        <v>13</v>
      </c>
      <c r="E7" s="11" t="s">
        <v>14</v>
      </c>
      <c r="F7" s="9"/>
      <c r="G7" s="9"/>
      <c r="H7" s="9"/>
    </row>
    <row r="8" spans="1:8" ht="75.900000000000006" customHeight="1">
      <c r="A8" s="14" t="s">
        <v>15</v>
      </c>
      <c r="B8" s="17">
        <f>'Financial Ratios'!F11</f>
        <v>0.95876628830601618</v>
      </c>
      <c r="C8" s="14" t="s">
        <v>16</v>
      </c>
      <c r="E8" s="11" t="s">
        <v>17</v>
      </c>
      <c r="F8" s="9"/>
      <c r="G8" s="9"/>
      <c r="H8" s="9"/>
    </row>
    <row r="9" spans="1:8" ht="40" customHeight="1">
      <c r="A9" s="14" t="s">
        <v>18</v>
      </c>
      <c r="B9" s="17">
        <f>'Financial Ratios'!F14</f>
        <v>0.50914023168287792</v>
      </c>
      <c r="C9" s="14" t="s">
        <v>19</v>
      </c>
    </row>
    <row r="10" spans="1:8" ht="40" customHeight="1">
      <c r="A10" s="14" t="s">
        <v>20</v>
      </c>
      <c r="B10" s="16">
        <f>'Financial Ratios'!F16</f>
        <v>0.14351311704704398</v>
      </c>
      <c r="C10" s="14" t="s">
        <v>21</v>
      </c>
    </row>
    <row r="11" spans="1:8" ht="40" customHeight="1">
      <c r="A11" s="14" t="s">
        <v>22</v>
      </c>
      <c r="B11" s="15">
        <f>'Cash Flow Statement'!F9</f>
        <v>22348</v>
      </c>
      <c r="C11" s="14" t="s">
        <v>23</v>
      </c>
    </row>
    <row r="12" spans="1:8" ht="40" customHeight="1">
      <c r="A12" s="14" t="s">
        <v>24</v>
      </c>
      <c r="B12" s="18">
        <f>'Business Health Scorecard'!F10</f>
        <v>75</v>
      </c>
      <c r="C12" s="14" t="s">
        <v>25</v>
      </c>
    </row>
    <row r="14" spans="1:8" ht="21.9" customHeight="1"/>
    <row r="15" spans="1:8" ht="40" customHeight="1">
      <c r="A15" s="13" t="s">
        <v>26</v>
      </c>
      <c r="B15" s="13" t="s">
        <v>27</v>
      </c>
      <c r="C15" s="13" t="s">
        <v>28</v>
      </c>
      <c r="D15" s="13" t="s">
        <v>29</v>
      </c>
      <c r="E15" s="13" t="s">
        <v>30</v>
      </c>
      <c r="F15" s="1" t="s">
        <v>3</v>
      </c>
    </row>
    <row r="16" spans="1:8" ht="40" customHeight="1">
      <c r="A16" s="19" t="s">
        <v>31</v>
      </c>
      <c r="B16" s="20">
        <f>'Income Statement'!B5</f>
        <v>249794.75</v>
      </c>
      <c r="C16" s="20">
        <f>'Income Statement'!C5</f>
        <v>278453.62</v>
      </c>
      <c r="D16" s="20">
        <f>'Income Statement'!D5</f>
        <v>345966.97</v>
      </c>
      <c r="E16" s="20">
        <f>'Income Statement'!E5</f>
        <v>437927.77</v>
      </c>
      <c r="F16" s="5">
        <f>'Income Statement'!F5</f>
        <v>439695</v>
      </c>
    </row>
    <row r="17" spans="1:6" ht="40" customHeight="1">
      <c r="A17" s="19" t="s">
        <v>32</v>
      </c>
      <c r="B17" s="20">
        <f>'Income Statement'!B18</f>
        <v>-13395.1</v>
      </c>
      <c r="C17" s="20">
        <f>'Income Statement'!C18</f>
        <v>-11308.76</v>
      </c>
      <c r="D17" s="20">
        <f>'Income Statement'!D18</f>
        <v>2689.87</v>
      </c>
      <c r="E17" s="20">
        <f>'Income Statement'!E18</f>
        <v>31806.75</v>
      </c>
      <c r="F17" s="5">
        <f>'Income Statement'!F18</f>
        <v>28149</v>
      </c>
    </row>
    <row r="18" spans="1:6" ht="40" customHeight="1">
      <c r="A18" s="19" t="s">
        <v>12</v>
      </c>
      <c r="B18" s="21">
        <f>'Financial Ratios'!B5</f>
        <v>-5.3624425653461497E-2</v>
      </c>
      <c r="C18" s="21">
        <f>'Financial Ratios'!C5</f>
        <v>-4.0612723943039421E-2</v>
      </c>
      <c r="D18" s="21">
        <f>'Financial Ratios'!D5</f>
        <v>7.7749329654215257E-3</v>
      </c>
      <c r="E18" s="21">
        <f>'Financial Ratios'!E5</f>
        <v>7.2630128023166929E-2</v>
      </c>
      <c r="F18" s="6">
        <f>'Financial Ratios'!F5</f>
        <v>6.4019377068194994E-2</v>
      </c>
    </row>
    <row r="19" spans="1:6" ht="40" customHeight="1">
      <c r="A19" s="19" t="s">
        <v>33</v>
      </c>
      <c r="B19" s="22">
        <f>'Financial Ratios'!B14</f>
        <v>2.0199777508742049</v>
      </c>
      <c r="C19" s="22">
        <f>'Financial Ratios'!C14</f>
        <v>2.8603412085853011</v>
      </c>
      <c r="D19" s="22">
        <f>'Financial Ratios'!D14</f>
        <v>2.3890045743772137</v>
      </c>
      <c r="E19" s="22">
        <f>'Financial Ratios'!E14</f>
        <v>1.0580720998673061</v>
      </c>
      <c r="F19" s="7">
        <f>'Financial Ratios'!F14</f>
        <v>0.50914023168287792</v>
      </c>
    </row>
    <row r="20" spans="1:6" ht="40" customHeight="1">
      <c r="A20" s="19" t="s">
        <v>34</v>
      </c>
      <c r="B20" s="23">
        <f>'Business Health Scorecard'!B10</f>
        <v>47</v>
      </c>
      <c r="C20" s="23">
        <f>'Business Health Scorecard'!C10</f>
        <v>43</v>
      </c>
      <c r="D20" s="23">
        <f>'Business Health Scorecard'!D10</f>
        <v>57</v>
      </c>
      <c r="E20" s="23">
        <f>'Business Health Scorecard'!E10</f>
        <v>78</v>
      </c>
      <c r="F20" s="8">
        <f>'Business Health Scorecard'!F10</f>
        <v>75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G10" sqref="G10"/>
    </sheetView>
  </sheetViews>
  <sheetFormatPr defaultRowHeight="13.8"/>
  <cols>
    <col min="1" max="1" width="36" customWidth="1"/>
    <col min="2" max="6" width="14" customWidth="1"/>
  </cols>
  <sheetData>
    <row r="1" spans="1:6" s="24" customFormat="1" ht="34.799999999999997" customHeight="1">
      <c r="A1" s="57" t="s">
        <v>35</v>
      </c>
      <c r="B1" s="58"/>
      <c r="C1" s="58"/>
      <c r="D1" s="58"/>
      <c r="E1" s="58"/>
      <c r="F1" s="58"/>
    </row>
    <row r="2" spans="1:6" ht="20.7" customHeight="1">
      <c r="A2" s="61" t="s">
        <v>36</v>
      </c>
      <c r="B2" s="58"/>
      <c r="C2" s="58"/>
      <c r="D2" s="58"/>
      <c r="E2" s="58"/>
      <c r="F2" s="58"/>
    </row>
    <row r="4" spans="1:6" s="28" customFormat="1" ht="40" customHeight="1">
      <c r="A4" s="32" t="s">
        <v>37</v>
      </c>
      <c r="B4" s="33" t="s">
        <v>27</v>
      </c>
      <c r="C4" s="33" t="s">
        <v>28</v>
      </c>
      <c r="D4" s="33" t="s">
        <v>29</v>
      </c>
      <c r="E4" s="33" t="s">
        <v>30</v>
      </c>
      <c r="F4" s="34" t="s">
        <v>3</v>
      </c>
    </row>
    <row r="5" spans="1:6" s="28" customFormat="1" ht="40" customHeight="1">
      <c r="A5" s="35" t="s">
        <v>6</v>
      </c>
      <c r="B5" s="36">
        <v>249794.75</v>
      </c>
      <c r="C5" s="36">
        <v>278453.62</v>
      </c>
      <c r="D5" s="36">
        <v>345966.97</v>
      </c>
      <c r="E5" s="36">
        <v>437927.77</v>
      </c>
      <c r="F5" s="37">
        <v>439695</v>
      </c>
    </row>
    <row r="6" spans="1:6" s="28" customFormat="1" ht="40" customHeight="1">
      <c r="A6" s="35" t="s">
        <v>38</v>
      </c>
      <c r="B6" s="36">
        <v>2643.19</v>
      </c>
      <c r="C6" s="36">
        <v>3053.63</v>
      </c>
      <c r="D6" s="36">
        <v>4633.18</v>
      </c>
      <c r="E6" s="36">
        <v>5949.92</v>
      </c>
      <c r="F6" s="37">
        <v>6244</v>
      </c>
    </row>
    <row r="7" spans="1:6" s="28" customFormat="1" ht="40" customHeight="1">
      <c r="A7" s="35" t="s">
        <v>39</v>
      </c>
      <c r="B7" s="36">
        <v>252437.94</v>
      </c>
      <c r="C7" s="36">
        <v>281507.25</v>
      </c>
      <c r="D7" s="36">
        <v>350600.15</v>
      </c>
      <c r="E7" s="36">
        <v>443877.69</v>
      </c>
      <c r="F7" s="37">
        <v>445939</v>
      </c>
    </row>
    <row r="8" spans="1:6" s="28" customFormat="1" ht="40" customHeight="1">
      <c r="A8" s="35" t="s">
        <v>40</v>
      </c>
      <c r="B8" s="36">
        <v>141357.26999999999</v>
      </c>
      <c r="C8" s="36">
        <v>160920.56</v>
      </c>
      <c r="D8" s="36">
        <v>208944.31</v>
      </c>
      <c r="E8" s="36">
        <v>249277.79</v>
      </c>
      <c r="F8" s="37">
        <v>241148</v>
      </c>
    </row>
    <row r="9" spans="1:6" s="28" customFormat="1" ht="40" customHeight="1">
      <c r="A9" s="35" t="s">
        <v>41</v>
      </c>
      <c r="B9" s="36">
        <v>12250.09</v>
      </c>
      <c r="C9" s="36">
        <v>18374.77</v>
      </c>
      <c r="D9" s="36">
        <v>22306.95</v>
      </c>
      <c r="E9" s="36">
        <v>25043.439999999999</v>
      </c>
      <c r="F9" s="37">
        <v>27802</v>
      </c>
    </row>
    <row r="10" spans="1:6" s="28" customFormat="1" ht="40" customHeight="1">
      <c r="A10" s="35" t="s">
        <v>42</v>
      </c>
      <c r="B10" s="36">
        <v>27648.48</v>
      </c>
      <c r="C10" s="36">
        <v>30808.52</v>
      </c>
      <c r="D10" s="36">
        <v>33654.699999999997</v>
      </c>
      <c r="E10" s="36">
        <v>42486.64</v>
      </c>
      <c r="F10" s="37">
        <v>47767</v>
      </c>
    </row>
    <row r="11" spans="1:6" s="28" customFormat="1" ht="40" customHeight="1">
      <c r="A11" s="35" t="s">
        <v>43</v>
      </c>
      <c r="B11" s="36">
        <v>8097.17</v>
      </c>
      <c r="C11" s="36">
        <v>9311.86</v>
      </c>
      <c r="D11" s="36">
        <v>10225.48</v>
      </c>
      <c r="E11" s="36">
        <v>9985.76</v>
      </c>
      <c r="F11" s="37">
        <v>5083</v>
      </c>
    </row>
    <row r="12" spans="1:6" s="28" customFormat="1" ht="40" customHeight="1">
      <c r="A12" s="35" t="s">
        <v>44</v>
      </c>
      <c r="B12" s="36">
        <v>23546.71</v>
      </c>
      <c r="C12" s="36">
        <v>24835.69</v>
      </c>
      <c r="D12" s="36">
        <v>24860.36</v>
      </c>
      <c r="E12" s="36">
        <v>27270.13</v>
      </c>
      <c r="F12" s="37">
        <v>23256</v>
      </c>
    </row>
    <row r="13" spans="1:6" s="28" customFormat="1" ht="40" customHeight="1">
      <c r="A13" s="35" t="s">
        <v>45</v>
      </c>
      <c r="B13" s="36">
        <v>5226.63</v>
      </c>
      <c r="C13" s="36">
        <v>9209.5</v>
      </c>
      <c r="D13" s="36">
        <v>10661.96</v>
      </c>
      <c r="E13" s="36">
        <v>10958.72</v>
      </c>
      <c r="F13" s="37">
        <v>10716</v>
      </c>
    </row>
    <row r="14" spans="1:6" s="28" customFormat="1" ht="40" customHeight="1">
      <c r="A14" s="35" t="s">
        <v>46</v>
      </c>
      <c r="B14" s="36">
        <v>40921.97</v>
      </c>
      <c r="C14" s="36">
        <v>47133.85</v>
      </c>
      <c r="D14" s="36">
        <v>61785.96</v>
      </c>
      <c r="E14" s="36">
        <v>78874.98</v>
      </c>
      <c r="F14" s="37">
        <v>85399</v>
      </c>
    </row>
    <row r="15" spans="1:6" s="28" customFormat="1" ht="40" customHeight="1">
      <c r="A15" s="35" t="s">
        <v>47</v>
      </c>
      <c r="B15" s="36">
        <v>249151.2</v>
      </c>
      <c r="C15" s="36">
        <v>287881.08</v>
      </c>
      <c r="D15" s="36">
        <v>349133.13</v>
      </c>
      <c r="E15" s="36">
        <v>415645.32</v>
      </c>
      <c r="F15" s="37">
        <v>411896</v>
      </c>
    </row>
    <row r="16" spans="1:6" s="28" customFormat="1" ht="40" customHeight="1">
      <c r="A16" s="35" t="s">
        <v>48</v>
      </c>
      <c r="B16" s="36">
        <v>-10474.280000000001</v>
      </c>
      <c r="C16" s="36">
        <v>-7003.41</v>
      </c>
      <c r="D16" s="36">
        <v>3057.55</v>
      </c>
      <c r="E16" s="36">
        <v>27955.11</v>
      </c>
      <c r="F16" s="37">
        <v>33780</v>
      </c>
    </row>
    <row r="17" spans="1:6" s="28" customFormat="1" ht="40" customHeight="1">
      <c r="A17" s="35" t="s">
        <v>49</v>
      </c>
      <c r="B17" s="36">
        <v>2541.86</v>
      </c>
      <c r="C17" s="36">
        <v>4231.29</v>
      </c>
      <c r="D17" s="36">
        <v>704.06</v>
      </c>
      <c r="E17" s="36">
        <v>-3851.64</v>
      </c>
      <c r="F17" s="37">
        <v>10502</v>
      </c>
    </row>
    <row r="18" spans="1:6" s="28" customFormat="1" ht="40" customHeight="1">
      <c r="A18" s="38" t="s">
        <v>50</v>
      </c>
      <c r="B18" s="39">
        <v>-13395.1</v>
      </c>
      <c r="C18" s="39">
        <v>-11308.76</v>
      </c>
      <c r="D18" s="39">
        <v>2689.87</v>
      </c>
      <c r="E18" s="39">
        <v>31806.75</v>
      </c>
      <c r="F18" s="40">
        <v>28149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14"/>
  <sheetViews>
    <sheetView workbookViewId="0">
      <selection activeCell="I1" sqref="I1"/>
    </sheetView>
  </sheetViews>
  <sheetFormatPr defaultRowHeight="13.8"/>
  <cols>
    <col min="1" max="1" width="36" customWidth="1"/>
    <col min="2" max="6" width="14" customWidth="1"/>
  </cols>
  <sheetData>
    <row r="1" spans="1:97" s="24" customFormat="1" ht="34.799999999999997" customHeight="1">
      <c r="A1" s="57" t="s">
        <v>51</v>
      </c>
      <c r="B1" s="58"/>
      <c r="C1" s="58"/>
      <c r="D1" s="58"/>
      <c r="E1" s="58"/>
      <c r="F1" s="58"/>
    </row>
    <row r="2" spans="1:97" ht="31.8" customHeight="1">
      <c r="A2" s="61" t="s">
        <v>52</v>
      </c>
      <c r="B2" s="58"/>
      <c r="C2" s="58"/>
      <c r="D2" s="58"/>
      <c r="E2" s="58"/>
      <c r="F2" s="58"/>
    </row>
    <row r="4" spans="1:97" s="19" customFormat="1" ht="45" customHeight="1">
      <c r="A4" s="12" t="s">
        <v>37</v>
      </c>
      <c r="B4" s="13" t="s">
        <v>27</v>
      </c>
      <c r="C4" s="13" t="s">
        <v>28</v>
      </c>
      <c r="D4" s="13" t="s">
        <v>29</v>
      </c>
      <c r="E4" s="13" t="s">
        <v>30</v>
      </c>
      <c r="F4" s="62" t="s">
        <v>3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</row>
    <row r="5" spans="1:97" s="19" customFormat="1" ht="45" customHeight="1">
      <c r="A5" s="41" t="s">
        <v>53</v>
      </c>
      <c r="B5" s="36">
        <v>343125.8</v>
      </c>
      <c r="C5" s="36">
        <v>330619.93</v>
      </c>
      <c r="D5" s="36">
        <v>336081.38</v>
      </c>
      <c r="E5" s="36">
        <v>370663.96</v>
      </c>
      <c r="F5" s="37">
        <v>378642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</row>
    <row r="6" spans="1:97" s="19" customFormat="1" ht="45" customHeight="1">
      <c r="A6" s="41" t="s">
        <v>54</v>
      </c>
      <c r="B6" s="36">
        <v>56820.21</v>
      </c>
      <c r="C6" s="36">
        <v>48832.3</v>
      </c>
      <c r="D6" s="36">
        <v>52599.51</v>
      </c>
      <c r="E6" s="36">
        <v>93093.93</v>
      </c>
      <c r="F6" s="37">
        <v>122754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</row>
    <row r="7" spans="1:97" s="19" customFormat="1" ht="45" customHeight="1">
      <c r="A7" s="41" t="s">
        <v>55</v>
      </c>
      <c r="B7" s="36">
        <v>196238.16</v>
      </c>
      <c r="C7" s="36">
        <v>183642.39</v>
      </c>
      <c r="D7" s="36">
        <v>184552.91</v>
      </c>
      <c r="E7" s="36">
        <v>202271.81</v>
      </c>
      <c r="F7" s="37">
        <v>218317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</row>
    <row r="8" spans="1:97" s="19" customFormat="1" ht="45" customHeight="1">
      <c r="A8" s="41" t="s">
        <v>56</v>
      </c>
      <c r="B8" s="36">
        <v>146666.84</v>
      </c>
      <c r="C8" s="36">
        <v>146453.69</v>
      </c>
      <c r="D8" s="36">
        <v>150700.69</v>
      </c>
      <c r="E8" s="36">
        <v>167718.24</v>
      </c>
      <c r="F8" s="37">
        <v>159811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</row>
    <row r="9" spans="1:97" s="19" customFormat="1" ht="45" customHeight="1">
      <c r="A9" s="41" t="s">
        <v>57</v>
      </c>
      <c r="B9" s="36">
        <v>31700.01</v>
      </c>
      <c r="C9" s="36">
        <v>38159.01</v>
      </c>
      <c r="D9" s="36">
        <v>31886.95</v>
      </c>
      <c r="E9" s="36">
        <v>40014.76</v>
      </c>
      <c r="F9" s="37">
        <v>34349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</row>
    <row r="10" spans="1:97" s="19" customFormat="1" ht="45" customHeight="1">
      <c r="A10" s="41" t="s">
        <v>58</v>
      </c>
      <c r="B10" s="36">
        <v>19051.189999999999</v>
      </c>
      <c r="C10" s="36">
        <v>22709.22</v>
      </c>
      <c r="D10" s="36">
        <v>18838.310000000001</v>
      </c>
      <c r="E10" s="36">
        <v>14253.24</v>
      </c>
      <c r="F10" s="37">
        <v>27199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</row>
    <row r="11" spans="1:97" s="19" customFormat="1" ht="45" customHeight="1">
      <c r="A11" s="41" t="s">
        <v>59</v>
      </c>
      <c r="B11" s="36">
        <v>128556.41</v>
      </c>
      <c r="C11" s="36">
        <v>131104.82</v>
      </c>
      <c r="D11" s="36">
        <v>128454.54</v>
      </c>
      <c r="E11" s="36">
        <v>103953.03</v>
      </c>
      <c r="F11" s="37">
        <v>89204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</row>
    <row r="12" spans="1:97" s="19" customFormat="1" ht="45" customHeight="1">
      <c r="A12" s="41" t="s">
        <v>60</v>
      </c>
      <c r="B12" s="36">
        <v>157749.18</v>
      </c>
      <c r="C12" s="36">
        <v>150682.81</v>
      </c>
      <c r="D12" s="36">
        <v>155027.32999999999</v>
      </c>
      <c r="E12" s="36">
        <v>173617</v>
      </c>
      <c r="F12" s="37">
        <v>166684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</row>
    <row r="13" spans="1:97" s="19" customFormat="1" ht="45" customHeight="1">
      <c r="A13" s="41" t="s">
        <v>61</v>
      </c>
      <c r="B13" s="36">
        <v>93112.77</v>
      </c>
      <c r="C13" s="36">
        <v>97759.17</v>
      </c>
      <c r="D13" s="36">
        <v>88695.81</v>
      </c>
      <c r="E13" s="36">
        <v>62148.53</v>
      </c>
      <c r="F13" s="37">
        <v>40217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</row>
    <row r="14" spans="1:97" s="19" customFormat="1" ht="45" customHeight="1">
      <c r="A14" s="41" t="s">
        <v>62</v>
      </c>
      <c r="B14" s="36">
        <v>21662.79</v>
      </c>
      <c r="C14" s="36">
        <v>41917.870000000003</v>
      </c>
      <c r="D14" s="36">
        <v>36964.660000000003</v>
      </c>
      <c r="E14" s="36">
        <v>36351.56</v>
      </c>
      <c r="F14" s="37">
        <v>22282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C9" sqref="C9"/>
    </sheetView>
  </sheetViews>
  <sheetFormatPr defaultRowHeight="13.8"/>
  <cols>
    <col min="1" max="1" width="36" customWidth="1"/>
    <col min="2" max="6" width="14" customWidth="1"/>
  </cols>
  <sheetData>
    <row r="1" spans="1:6" s="24" customFormat="1" ht="35.049999999999997" customHeight="1">
      <c r="A1" s="57" t="s">
        <v>63</v>
      </c>
      <c r="B1" s="58"/>
      <c r="C1" s="58"/>
      <c r="D1" s="58"/>
      <c r="E1" s="58"/>
      <c r="F1" s="58"/>
    </row>
    <row r="2" spans="1:6" ht="23.4" customHeight="1">
      <c r="A2" s="61" t="s">
        <v>64</v>
      </c>
      <c r="B2" s="58"/>
      <c r="C2" s="58"/>
      <c r="D2" s="58"/>
      <c r="E2" s="58"/>
      <c r="F2" s="58"/>
    </row>
    <row r="4" spans="1:6" s="28" customFormat="1" ht="45" customHeight="1">
      <c r="A4" s="25" t="s">
        <v>37</v>
      </c>
      <c r="B4" s="26" t="s">
        <v>27</v>
      </c>
      <c r="C4" s="26" t="s">
        <v>28</v>
      </c>
      <c r="D4" s="26" t="s">
        <v>29</v>
      </c>
      <c r="E4" s="26" t="s">
        <v>30</v>
      </c>
      <c r="F4" s="27" t="s">
        <v>3</v>
      </c>
    </row>
    <row r="5" spans="1:6" s="28" customFormat="1" ht="45" customHeight="1">
      <c r="A5" s="29" t="s">
        <v>65</v>
      </c>
      <c r="B5" s="30">
        <v>29000.51</v>
      </c>
      <c r="C5" s="30">
        <v>14282.83</v>
      </c>
      <c r="D5" s="30">
        <v>35388.01</v>
      </c>
      <c r="E5" s="30">
        <v>67915.360000000001</v>
      </c>
      <c r="F5" s="31">
        <v>63102</v>
      </c>
    </row>
    <row r="6" spans="1:6" s="28" customFormat="1" ht="45" customHeight="1">
      <c r="A6" s="29" t="s">
        <v>66</v>
      </c>
      <c r="B6" s="30">
        <v>-26126.25</v>
      </c>
      <c r="C6" s="30">
        <v>-4775.12</v>
      </c>
      <c r="D6" s="30">
        <v>-16804.16</v>
      </c>
      <c r="E6" s="30">
        <v>-22828.09</v>
      </c>
      <c r="F6" s="31">
        <v>-47594</v>
      </c>
    </row>
    <row r="7" spans="1:6" s="28" customFormat="1" ht="45" customHeight="1">
      <c r="A7" s="29" t="s">
        <v>67</v>
      </c>
      <c r="B7" s="30">
        <v>9904.2000000000007</v>
      </c>
      <c r="C7" s="30">
        <v>-3380.17</v>
      </c>
      <c r="D7" s="30">
        <v>-26242.9</v>
      </c>
      <c r="E7" s="30">
        <v>-37005.99</v>
      </c>
      <c r="F7" s="31">
        <v>-18786</v>
      </c>
    </row>
    <row r="8" spans="1:6" s="28" customFormat="1" ht="45" customHeight="1">
      <c r="A8" s="29" t="s">
        <v>68</v>
      </c>
      <c r="B8" s="30">
        <v>-20205.400000000001</v>
      </c>
      <c r="C8" s="30">
        <v>-15168.42</v>
      </c>
      <c r="D8" s="30">
        <v>-18095.68</v>
      </c>
      <c r="E8" s="30">
        <v>-31413.629999999997</v>
      </c>
      <c r="F8" s="31">
        <v>-38042</v>
      </c>
    </row>
    <row r="9" spans="1:6" s="28" customFormat="1" ht="45" customHeight="1">
      <c r="A9" s="29" t="s">
        <v>22</v>
      </c>
      <c r="B9" s="30">
        <v>5317</v>
      </c>
      <c r="C9" s="30">
        <v>-9254</v>
      </c>
      <c r="D9" s="30">
        <v>7840</v>
      </c>
      <c r="E9" s="30">
        <v>26924</v>
      </c>
      <c r="F9" s="31">
        <v>22348</v>
      </c>
    </row>
    <row r="10" spans="1:6" s="28" customFormat="1" ht="45" customHeight="1">
      <c r="A10" s="29" t="s">
        <v>69</v>
      </c>
      <c r="B10" s="30">
        <v>31700.01</v>
      </c>
      <c r="C10" s="30">
        <v>38159.01</v>
      </c>
      <c r="D10" s="30">
        <v>31886.95</v>
      </c>
      <c r="E10" s="30">
        <v>40014.76</v>
      </c>
      <c r="F10" s="31">
        <v>34349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opLeftCell="A12" workbookViewId="0">
      <selection activeCell="C6" sqref="C6"/>
    </sheetView>
  </sheetViews>
  <sheetFormatPr defaultRowHeight="13.8"/>
  <cols>
    <col min="1" max="1" width="36" customWidth="1"/>
    <col min="2" max="6" width="14" customWidth="1"/>
  </cols>
  <sheetData>
    <row r="1" spans="1:6" ht="26.4" customHeight="1">
      <c r="A1" s="57" t="s">
        <v>70</v>
      </c>
      <c r="B1" s="58"/>
      <c r="C1" s="58"/>
      <c r="D1" s="58"/>
      <c r="E1" s="58"/>
      <c r="F1" s="58"/>
    </row>
    <row r="2" spans="1:6" ht="19.5" customHeight="1">
      <c r="A2" s="61" t="s">
        <v>71</v>
      </c>
      <c r="B2" s="58"/>
      <c r="C2" s="58"/>
      <c r="D2" s="58"/>
      <c r="E2" s="58"/>
      <c r="F2" s="58"/>
    </row>
    <row r="4" spans="1:6" ht="45" customHeight="1">
      <c r="A4" s="32" t="s">
        <v>37</v>
      </c>
      <c r="B4" s="33" t="s">
        <v>27</v>
      </c>
      <c r="C4" s="33" t="s">
        <v>28</v>
      </c>
      <c r="D4" s="33" t="s">
        <v>29</v>
      </c>
      <c r="E4" s="33" t="s">
        <v>30</v>
      </c>
      <c r="F4" s="34" t="s">
        <v>3</v>
      </c>
    </row>
    <row r="5" spans="1:6" ht="45" customHeight="1">
      <c r="A5" s="35" t="s">
        <v>12</v>
      </c>
      <c r="B5" s="21">
        <f>'Income Statement'!B18/'Income Statement'!B5</f>
        <v>-5.3624425653461497E-2</v>
      </c>
      <c r="C5" s="21">
        <f>'Income Statement'!C18/'Income Statement'!C5</f>
        <v>-4.0612723943039421E-2</v>
      </c>
      <c r="D5" s="21">
        <f>'Income Statement'!D18/'Income Statement'!D5</f>
        <v>7.7749329654215257E-3</v>
      </c>
      <c r="E5" s="21">
        <f>'Income Statement'!E18/'Income Statement'!E5</f>
        <v>7.2630128023166929E-2</v>
      </c>
      <c r="F5" s="42">
        <f>'Income Statement'!F18/'Income Statement'!F5</f>
        <v>6.4019377068194994E-2</v>
      </c>
    </row>
    <row r="6" spans="1:6" ht="45" customHeight="1">
      <c r="A6" s="35" t="s">
        <v>72</v>
      </c>
      <c r="B6" s="21">
        <f>'Income Statement'!B16/'Income Statement'!B5</f>
        <v>-4.1931545799101064E-2</v>
      </c>
      <c r="C6" s="21">
        <f>'Income Statement'!C16/'Income Statement'!C5</f>
        <v>-2.5151082611172375E-2</v>
      </c>
      <c r="D6" s="21">
        <f>'Income Statement'!D16/'Income Statement'!D5</f>
        <v>8.8376933786482575E-3</v>
      </c>
      <c r="E6" s="21">
        <f>'Income Statement'!E16/'Income Statement'!E5</f>
        <v>6.3834978996650513E-2</v>
      </c>
      <c r="F6" s="42">
        <f>'Income Statement'!F16/'Income Statement'!F5</f>
        <v>7.6825981646368502E-2</v>
      </c>
    </row>
    <row r="7" spans="1:6" ht="45" customHeight="1">
      <c r="A7" s="35" t="s">
        <v>73</v>
      </c>
      <c r="B7" s="21">
        <f>'Income Statement'!B15/'Income Statement'!B7</f>
        <v>0.98698000783875839</v>
      </c>
      <c r="C7" s="21">
        <f>'Income Statement'!C15/'Income Statement'!C7</f>
        <v>1.022641796969705</v>
      </c>
      <c r="D7" s="21">
        <f>'Income Statement'!D15/'Income Statement'!D7</f>
        <v>0.99581568918324759</v>
      </c>
      <c r="E7" s="21">
        <f>'Income Statement'!E15/'Income Statement'!E7</f>
        <v>0.93639605991461294</v>
      </c>
      <c r="F7" s="42">
        <f>'Income Statement'!F15/'Income Statement'!F7</f>
        <v>0.9236599624612335</v>
      </c>
    </row>
    <row r="8" spans="1:6" ht="45" customHeight="1">
      <c r="A8" s="35" t="s">
        <v>74</v>
      </c>
      <c r="B8" s="21">
        <f>'Income Statement'!B18/'Balance Sheet'!B5</f>
        <v>-3.9038451786487641E-2</v>
      </c>
      <c r="C8" s="21">
        <f>'Income Statement'!C18/AVERAGE('Balance Sheet'!B5,'Balance Sheet'!C5)</f>
        <v>-3.35698157226169E-2</v>
      </c>
      <c r="D8" s="21">
        <f>'Income Statement'!D18/AVERAGE('Balance Sheet'!C5,'Balance Sheet'!D5)</f>
        <v>8.0691906845060789E-3</v>
      </c>
      <c r="E8" s="21">
        <f>'Income Statement'!E18/AVERAGE('Balance Sheet'!D5,'Balance Sheet'!E5)</f>
        <v>9.0009083045386601E-2</v>
      </c>
      <c r="F8" s="42">
        <f>'Income Statement'!F18/AVERAGE('Balance Sheet'!E5,'Balance Sheet'!F5)</f>
        <v>7.5133527564627947E-2</v>
      </c>
    </row>
    <row r="9" spans="1:6" ht="45" customHeight="1">
      <c r="A9" s="35" t="s">
        <v>75</v>
      </c>
      <c r="B9" s="22">
        <f>'Income Statement'!B18/'Balance Sheet'!B6</f>
        <v>-0.23574534483417081</v>
      </c>
      <c r="C9" s="22">
        <f>'Income Statement'!C18/AVERAGE('Balance Sheet'!B6,'Balance Sheet'!C6)</f>
        <v>-0.21407461119475532</v>
      </c>
      <c r="D9" s="22">
        <f>'Income Statement'!D18/AVERAGE('Balance Sheet'!C6,'Balance Sheet'!D6)</f>
        <v>5.3037996660022138E-2</v>
      </c>
      <c r="E9" s="22">
        <f>'Income Statement'!E18/AVERAGE('Balance Sheet'!D6,'Balance Sheet'!E6)</f>
        <v>0.43662569845286103</v>
      </c>
      <c r="F9" s="43">
        <f>'Income Statement'!F18/AVERAGE('Balance Sheet'!E6,'Balance Sheet'!F6)</f>
        <v>0.26082251518464877</v>
      </c>
    </row>
    <row r="10" spans="1:6" ht="45" customHeight="1">
      <c r="A10" s="35" t="s">
        <v>76</v>
      </c>
      <c r="B10" s="22">
        <f>'Income Statement'!B5/'Balance Sheet'!B5</f>
        <v>0.72799757406758692</v>
      </c>
      <c r="C10" s="22">
        <f>'Income Statement'!C5/AVERAGE('Balance Sheet'!B5,'Balance Sheet'!C5)</f>
        <v>0.82658370243029222</v>
      </c>
      <c r="D10" s="22">
        <f>'Income Statement'!D5/AVERAGE('Balance Sheet'!C5,'Balance Sheet'!D5)</f>
        <v>1.0378469782817734</v>
      </c>
      <c r="E10" s="22">
        <f>'Income Statement'!E5/AVERAGE('Balance Sheet'!D5,'Balance Sheet'!E5)</f>
        <v>1.2392802476773317</v>
      </c>
      <c r="F10" s="43">
        <f>'Income Statement'!F5/AVERAGE('Balance Sheet'!E5,'Balance Sheet'!F5)</f>
        <v>1.1736060393807626</v>
      </c>
    </row>
    <row r="11" spans="1:6" ht="45" customHeight="1">
      <c r="A11" s="35" t="s">
        <v>15</v>
      </c>
      <c r="B11" s="20">
        <f>'Balance Sheet'!B8/'Balance Sheet'!B12</f>
        <v>0.92974708331288947</v>
      </c>
      <c r="C11" s="20">
        <f>'Balance Sheet'!C8/'Balance Sheet'!C12</f>
        <v>0.97193362666916028</v>
      </c>
      <c r="D11" s="20">
        <f>'Balance Sheet'!D8/'Balance Sheet'!D12</f>
        <v>0.97209111451509878</v>
      </c>
      <c r="E11" s="20">
        <f>'Balance Sheet'!E8/'Balance Sheet'!E12</f>
        <v>0.96602429485591845</v>
      </c>
      <c r="F11" s="44">
        <f>'Balance Sheet'!F8/'Balance Sheet'!F12</f>
        <v>0.95876628830601618</v>
      </c>
    </row>
    <row r="12" spans="1:6" ht="45" customHeight="1">
      <c r="A12" s="35" t="s">
        <v>77</v>
      </c>
      <c r="B12" s="22">
        <f>('Balance Sheet'!B9+'Balance Sheet'!B10)/'Balance Sheet'!B12</f>
        <v>0.32172084824783242</v>
      </c>
      <c r="C12" s="22">
        <f>('Balance Sheet'!C9+'Balance Sheet'!C10)/'Balance Sheet'!C12</f>
        <v>0.40394939542207903</v>
      </c>
      <c r="D12" s="22">
        <f>('Balance Sheet'!D9+'Balance Sheet'!D10)/'Balance Sheet'!D12</f>
        <v>0.32720204882584253</v>
      </c>
      <c r="E12" s="22">
        <f>('Balance Sheet'!E9+'Balance Sheet'!E10)/'Balance Sheet'!E12</f>
        <v>0.3125730775212105</v>
      </c>
      <c r="F12" s="43">
        <f>('Balance Sheet'!F9+'Balance Sheet'!F10)/'Balance Sheet'!F12</f>
        <v>0.36924959804180363</v>
      </c>
    </row>
    <row r="13" spans="1:6" ht="45" customHeight="1">
      <c r="A13" s="35" t="s">
        <v>78</v>
      </c>
      <c r="B13" s="22">
        <f>'Balance Sheet'!B8-'Balance Sheet'!B12</f>
        <v>-11082.339999999997</v>
      </c>
      <c r="C13" s="22">
        <f>'Balance Sheet'!C8-'Balance Sheet'!C12</f>
        <v>-4229.1199999999953</v>
      </c>
      <c r="D13" s="22">
        <f>'Balance Sheet'!D8-'Balance Sheet'!D12</f>
        <v>-4326.6399999999849</v>
      </c>
      <c r="E13" s="22">
        <f>'Balance Sheet'!E8-'Balance Sheet'!E12</f>
        <v>-5898.7600000000093</v>
      </c>
      <c r="F13" s="43">
        <f>'Balance Sheet'!F8-'Balance Sheet'!F12</f>
        <v>-6873</v>
      </c>
    </row>
    <row r="14" spans="1:6" ht="45" customHeight="1">
      <c r="A14" s="35" t="s">
        <v>18</v>
      </c>
      <c r="B14" s="21">
        <f>('Balance Sheet'!B13+'Balance Sheet'!B14)/'Balance Sheet'!B6</f>
        <v>2.0199777508742049</v>
      </c>
      <c r="C14" s="21">
        <f>('Balance Sheet'!C13+'Balance Sheet'!C14)/'Balance Sheet'!C6</f>
        <v>2.8603412085853011</v>
      </c>
      <c r="D14" s="21">
        <f>('Balance Sheet'!D13+'Balance Sheet'!D14)/'Balance Sheet'!D6</f>
        <v>2.3890045743772137</v>
      </c>
      <c r="E14" s="21">
        <f>('Balance Sheet'!E13+'Balance Sheet'!E14)/'Balance Sheet'!E6</f>
        <v>1.0580720998673061</v>
      </c>
      <c r="F14" s="42">
        <f>('Balance Sheet'!F13+'Balance Sheet'!F14)/'Balance Sheet'!F6</f>
        <v>0.50914023168287792</v>
      </c>
    </row>
    <row r="15" spans="1:6" ht="45" customHeight="1">
      <c r="A15" s="35" t="s">
        <v>79</v>
      </c>
      <c r="B15" s="21">
        <f>('Balance Sheet'!B11+'Balance Sheet'!B12)/'Balance Sheet'!B5</f>
        <v>0.83440414565153653</v>
      </c>
      <c r="C15" s="21">
        <f>('Balance Sheet'!C11+'Balance Sheet'!C12)/'Balance Sheet'!C5</f>
        <v>0.85230079747461085</v>
      </c>
      <c r="D15" s="21">
        <f>('Balance Sheet'!D11+'Balance Sheet'!D12)/'Balance Sheet'!D5</f>
        <v>0.84349174595748211</v>
      </c>
      <c r="E15" s="21">
        <f>('Balance Sheet'!E11+'Balance Sheet'!E12)/'Balance Sheet'!E5</f>
        <v>0.74884547718100247</v>
      </c>
      <c r="F15" s="42">
        <f>('Balance Sheet'!F11+'Balance Sheet'!F12)/'Balance Sheet'!F5</f>
        <v>0.67580458586210723</v>
      </c>
    </row>
    <row r="16" spans="1:6" ht="45" customHeight="1">
      <c r="A16" s="35" t="s">
        <v>20</v>
      </c>
      <c r="B16" s="21">
        <f>'Cash Flow Statement'!B5/'Income Statement'!B5</f>
        <v>0.11609735592921788</v>
      </c>
      <c r="C16" s="21">
        <f>'Cash Flow Statement'!C5/'Income Statement'!C5</f>
        <v>5.1293389541856201E-2</v>
      </c>
      <c r="D16" s="21">
        <f>'Cash Flow Statement'!D5/'Income Statement'!D5</f>
        <v>0.1022872501383586</v>
      </c>
      <c r="E16" s="21">
        <f>'Cash Flow Statement'!E5/'Income Statement'!E5</f>
        <v>0.15508347415373999</v>
      </c>
      <c r="F16" s="42">
        <f>'Cash Flow Statement'!F5/'Income Statement'!F5</f>
        <v>0.14351311704704398</v>
      </c>
    </row>
    <row r="17" spans="1:6" ht="45" customHeight="1">
      <c r="A17" s="35" t="s">
        <v>80</v>
      </c>
      <c r="B17" s="21">
        <f>'Cash Flow Statement'!B9/'Income Statement'!B5</f>
        <v>2.1285475375283108E-2</v>
      </c>
      <c r="C17" s="21">
        <f>'Cash Flow Statement'!C9/'Income Statement'!C5</f>
        <v>-3.3233541729498793E-2</v>
      </c>
      <c r="D17" s="21">
        <f>'Cash Flow Statement'!D9/'Income Statement'!D5</f>
        <v>2.2661122823372418E-2</v>
      </c>
      <c r="E17" s="21">
        <f>'Cash Flow Statement'!E9/'Income Statement'!E5</f>
        <v>6.1480458295668255E-2</v>
      </c>
      <c r="F17" s="42">
        <f>'Cash Flow Statement'!F9/'Income Statement'!F5</f>
        <v>5.0826140847633018E-2</v>
      </c>
    </row>
    <row r="18" spans="1:6" ht="45" customHeight="1">
      <c r="A18" s="38" t="s">
        <v>81</v>
      </c>
      <c r="B18" s="45">
        <f>ABS('Cash Flow Statement'!B8)/'Income Statement'!B5</f>
        <v>8.0888009055434515E-2</v>
      </c>
      <c r="C18" s="45">
        <f>ABS('Cash Flow Statement'!C8)/'Income Statement'!C5</f>
        <v>5.4473775560899516E-2</v>
      </c>
      <c r="D18" s="45">
        <f>ABS('Cash Flow Statement'!D8)/'Income Statement'!D5</f>
        <v>5.2304646307709667E-2</v>
      </c>
      <c r="E18" s="45">
        <f>ABS('Cash Flow Statement'!E8)/'Income Statement'!E5</f>
        <v>7.1732445740995132E-2</v>
      </c>
      <c r="F18" s="46">
        <f>ABS('Cash Flow Statement'!F8)/'Income Statement'!F5</f>
        <v>8.6519064351425423E-2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B11" sqref="B11"/>
    </sheetView>
  </sheetViews>
  <sheetFormatPr defaultRowHeight="13.8"/>
  <cols>
    <col min="1" max="1" width="36" customWidth="1"/>
    <col min="2" max="6" width="14" customWidth="1"/>
  </cols>
  <sheetData>
    <row r="1" spans="1:6" ht="29.1" customHeight="1">
      <c r="A1" s="57" t="s">
        <v>82</v>
      </c>
      <c r="B1" s="58"/>
      <c r="C1" s="58"/>
      <c r="D1" s="58"/>
      <c r="E1" s="58"/>
      <c r="F1" s="58"/>
    </row>
    <row r="2" spans="1:6" ht="19.2" customHeight="1">
      <c r="A2" s="61" t="s">
        <v>83</v>
      </c>
      <c r="B2" s="58"/>
      <c r="C2" s="58"/>
      <c r="D2" s="58"/>
      <c r="E2" s="58"/>
      <c r="F2" s="58"/>
    </row>
    <row r="4" spans="1:6" s="28" customFormat="1" ht="40" customHeight="1">
      <c r="A4" s="32" t="s">
        <v>37</v>
      </c>
      <c r="B4" s="33" t="s">
        <v>27</v>
      </c>
      <c r="C4" s="33" t="s">
        <v>28</v>
      </c>
      <c r="D4" s="33" t="s">
        <v>29</v>
      </c>
      <c r="E4" s="33" t="s">
        <v>30</v>
      </c>
      <c r="F4" s="34" t="s">
        <v>3</v>
      </c>
    </row>
    <row r="5" spans="1:6" s="28" customFormat="1" ht="40" customHeight="1">
      <c r="A5" s="35" t="s">
        <v>84</v>
      </c>
      <c r="B5" s="65" t="s">
        <v>133</v>
      </c>
      <c r="C5" s="21">
        <f>'Income Statement'!C5/'Income Statement'!B5-1</f>
        <v>0.11472967306158344</v>
      </c>
      <c r="D5" s="21">
        <f>'Income Statement'!D5/'Income Statement'!C5-1</f>
        <v>0.24245815155859707</v>
      </c>
      <c r="E5" s="21">
        <f>'Income Statement'!E5/'Income Statement'!D5-1</f>
        <v>0.26580803363974326</v>
      </c>
      <c r="F5" s="42">
        <f>'Income Statement'!F5/'Income Statement'!E5-1</f>
        <v>4.0354371680972889E-3</v>
      </c>
    </row>
    <row r="6" spans="1:6" s="28" customFormat="1" ht="40" customHeight="1">
      <c r="A6" s="35" t="s">
        <v>85</v>
      </c>
      <c r="B6" s="65" t="s">
        <v>133</v>
      </c>
      <c r="C6" s="21">
        <f>'Income Statement'!C18/'Income Statement'!B18-1</f>
        <v>-0.15575396973520172</v>
      </c>
      <c r="D6" s="21">
        <f>'Income Statement'!D18/'Income Statement'!C18-1</f>
        <v>-1.2378572009663305</v>
      </c>
      <c r="E6" s="21">
        <f>'Income Statement'!E18/'Income Statement'!D18-1</f>
        <v>10.824642083074647</v>
      </c>
      <c r="F6" s="42">
        <f>'Income Statement'!F18/'Income Statement'!E18-1</f>
        <v>-0.11499917470348275</v>
      </c>
    </row>
    <row r="7" spans="1:6" s="28" customFormat="1" ht="40" customHeight="1">
      <c r="A7" s="35" t="s">
        <v>86</v>
      </c>
      <c r="B7" s="65" t="s">
        <v>133</v>
      </c>
      <c r="C7" s="21">
        <f>'Balance Sheet'!C5/'Balance Sheet'!B5-1</f>
        <v>-3.6446894987202882E-2</v>
      </c>
      <c r="D7" s="21">
        <f>'Balance Sheet'!D5/'Balance Sheet'!C5-1</f>
        <v>1.6518816636371669E-2</v>
      </c>
      <c r="E7" s="21">
        <f>'Balance Sheet'!E5/'Balance Sheet'!D5-1</f>
        <v>0.10289942275290587</v>
      </c>
      <c r="F7" s="42">
        <f>'Balance Sheet'!F5/'Balance Sheet'!E5-1</f>
        <v>2.1523646377705541E-2</v>
      </c>
    </row>
    <row r="8" spans="1:6" s="28" customFormat="1" ht="40" customHeight="1">
      <c r="A8" s="35" t="s">
        <v>87</v>
      </c>
      <c r="B8" s="65" t="s">
        <v>133</v>
      </c>
      <c r="C8" s="21">
        <f>(('Balance Sheet'!C13+'Balance Sheet'!C14)/('Balance Sheet'!B13+'Balance Sheet'!B14))-1</f>
        <v>0.21695803531692648</v>
      </c>
      <c r="D8" s="21">
        <f>(('Balance Sheet'!D13+'Balance Sheet'!D14)/('Balance Sheet'!C13+'Balance Sheet'!C14))-1</f>
        <v>-0.10034984991090878</v>
      </c>
      <c r="E8" s="21">
        <f>(('Balance Sheet'!E13+'Balance Sheet'!E14)/('Balance Sheet'!D13+'Balance Sheet'!D14))-1</f>
        <v>-0.2161410028149664</v>
      </c>
      <c r="F8" s="42">
        <f>(('Balance Sheet'!F13+'Balance Sheet'!F14)/('Balance Sheet'!E13+'Balance Sheet'!E14))-1</f>
        <v>-0.36549296553942234</v>
      </c>
    </row>
    <row r="9" spans="1:6" s="28" customFormat="1" ht="40" customHeight="1">
      <c r="A9" s="35" t="s">
        <v>88</v>
      </c>
      <c r="B9" s="65" t="s">
        <v>133</v>
      </c>
      <c r="C9" s="21">
        <f>'Cash Flow Statement'!C5/'Cash Flow Statement'!B5-1</f>
        <v>-0.50749728194435195</v>
      </c>
      <c r="D9" s="21">
        <f>'Cash Flow Statement'!D5/'Cash Flow Statement'!C5-1</f>
        <v>1.4776609397437346</v>
      </c>
      <c r="E9" s="21">
        <f>'Cash Flow Statement'!E5/'Cash Flow Statement'!D5-1</f>
        <v>0.91916301594805683</v>
      </c>
      <c r="F9" s="42">
        <f>'Cash Flow Statement'!F5/'Cash Flow Statement'!E5-1</f>
        <v>-7.0872921825048119E-2</v>
      </c>
    </row>
    <row r="10" spans="1:6" s="28" customFormat="1" ht="40" customHeight="1">
      <c r="A10" s="35" t="s">
        <v>89</v>
      </c>
      <c r="B10" s="67" t="s">
        <v>133</v>
      </c>
      <c r="C10" s="21">
        <f>'Cash Flow Statement'!C9/'Cash Flow Statement'!B9-1</f>
        <v>-2.7404551438781271</v>
      </c>
      <c r="D10" s="21">
        <f>'Cash Flow Statement'!D9/'Cash Flow Statement'!C9-1</f>
        <v>-1.8472012102874431</v>
      </c>
      <c r="E10" s="21">
        <f>'Cash Flow Statement'!E9/'Cash Flow Statement'!D9-1</f>
        <v>2.4341836734693878</v>
      </c>
      <c r="F10" s="42">
        <f>'Cash Flow Statement'!F9/'Cash Flow Statement'!E9-1</f>
        <v>-0.16995988708958554</v>
      </c>
    </row>
    <row r="11" spans="1:6" s="28" customFormat="1" ht="40" customHeight="1">
      <c r="A11" s="38" t="s">
        <v>90</v>
      </c>
      <c r="B11" s="64" t="s">
        <v>133</v>
      </c>
      <c r="C11" s="66">
        <v>-6.4</v>
      </c>
      <c r="D11" s="66">
        <v>7.7</v>
      </c>
      <c r="E11" s="66">
        <v>42.5</v>
      </c>
      <c r="F11" s="66">
        <v>-17.2</v>
      </c>
    </row>
  </sheetData>
  <mergeCells count="2">
    <mergeCell ref="A1:F1"/>
    <mergeCell ref="A2:F2"/>
  </mergeCells>
  <conditionalFormatting sqref="C11:F11">
    <cfRule type="cellIs" dxfId="2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G9" sqref="G9"/>
    </sheetView>
  </sheetViews>
  <sheetFormatPr defaultRowHeight="13.8"/>
  <cols>
    <col min="1" max="1" width="36" customWidth="1"/>
    <col min="2" max="6" width="14" customWidth="1"/>
  </cols>
  <sheetData>
    <row r="1" spans="1:6" ht="28.2" customHeight="1">
      <c r="A1" s="57" t="s">
        <v>91</v>
      </c>
      <c r="B1" s="58"/>
      <c r="C1" s="58"/>
      <c r="D1" s="58"/>
      <c r="E1" s="58"/>
      <c r="F1" s="58"/>
    </row>
    <row r="2" spans="1:6" ht="22.8" customHeight="1">
      <c r="A2" s="61" t="s">
        <v>92</v>
      </c>
      <c r="B2" s="58"/>
      <c r="C2" s="58"/>
      <c r="D2" s="58"/>
      <c r="E2" s="58"/>
      <c r="F2" s="58"/>
    </row>
    <row r="4" spans="1:6" ht="35.049999999999997" customHeight="1">
      <c r="A4" s="32" t="s">
        <v>93</v>
      </c>
      <c r="B4" s="33" t="s">
        <v>27</v>
      </c>
      <c r="C4" s="33" t="s">
        <v>28</v>
      </c>
      <c r="D4" s="33" t="s">
        <v>29</v>
      </c>
      <c r="E4" s="33" t="s">
        <v>30</v>
      </c>
      <c r="F4" s="34" t="s">
        <v>3</v>
      </c>
    </row>
    <row r="5" spans="1:6" ht="40" customHeight="1">
      <c r="A5" s="35" t="s">
        <v>94</v>
      </c>
      <c r="B5" s="23">
        <f>IF('Financial Ratios'!B5&gt;5%,20,IF('Financial Ratios'!B5&gt;0%,12,4))</f>
        <v>4</v>
      </c>
      <c r="C5" s="23">
        <f>IF('Financial Ratios'!C5&gt;5%,20,IF('Financial Ratios'!C5&gt;0%,12,4))</f>
        <v>4</v>
      </c>
      <c r="D5" s="23">
        <f>IF('Financial Ratios'!D5&gt;5%,20,IF('Financial Ratios'!D5&gt;0%,12,4))</f>
        <v>12</v>
      </c>
      <c r="E5" s="23">
        <f>IF('Financial Ratios'!E5&gt;5%,20,IF('Financial Ratios'!E5&gt;0%,12,4))</f>
        <v>20</v>
      </c>
      <c r="F5" s="47">
        <f>IF('Financial Ratios'!F5&gt;5%,20,IF('Financial Ratios'!F5&gt;0%,12,4))</f>
        <v>20</v>
      </c>
    </row>
    <row r="6" spans="1:6" ht="40" customHeight="1">
      <c r="A6" s="35" t="s">
        <v>95</v>
      </c>
      <c r="B6" s="23">
        <f>IF('Financial Ratios'!B11&gt;=1.2,20,IF('Financial Ratios'!B11&gt;=1,14,8))</f>
        <v>8</v>
      </c>
      <c r="C6" s="23">
        <f>IF('Financial Ratios'!C11&gt;=1.2,20,IF('Financial Ratios'!C11&gt;=1,14,8))</f>
        <v>8</v>
      </c>
      <c r="D6" s="23">
        <f>IF('Financial Ratios'!D11&gt;=1.2,20,IF('Financial Ratios'!D11&gt;=1,14,8))</f>
        <v>8</v>
      </c>
      <c r="E6" s="23">
        <f>IF('Financial Ratios'!E11&gt;=1.2,20,IF('Financial Ratios'!E11&gt;=1,14,8))</f>
        <v>8</v>
      </c>
      <c r="F6" s="47">
        <f>IF('Financial Ratios'!F11&gt;=1.2,20,IF('Financial Ratios'!F11&gt;=1,14,8))</f>
        <v>8</v>
      </c>
    </row>
    <row r="7" spans="1:6" ht="40" customHeight="1">
      <c r="A7" s="35" t="s">
        <v>96</v>
      </c>
      <c r="B7" s="23">
        <f>IF('Financial Ratios'!B14&lt;0.5,20,IF('Financial Ratios'!B14&lt;1,15,IF('Financial Ratios'!B14&lt;2,10,5)))</f>
        <v>5</v>
      </c>
      <c r="C7" s="23">
        <f>IF('Financial Ratios'!C14&lt;0.5,20,IF('Financial Ratios'!C14&lt;1,15,IF('Financial Ratios'!C14&lt;2,10,5)))</f>
        <v>5</v>
      </c>
      <c r="D7" s="23">
        <f>IF('Financial Ratios'!D14&lt;0.5,20,IF('Financial Ratios'!D14&lt;1,15,IF('Financial Ratios'!D14&lt;2,10,5)))</f>
        <v>5</v>
      </c>
      <c r="E7" s="23">
        <f>IF('Financial Ratios'!E14&lt;0.5,20,IF('Financial Ratios'!E14&lt;1,15,IF('Financial Ratios'!E14&lt;2,10,5)))</f>
        <v>10</v>
      </c>
      <c r="F7" s="47">
        <f>IF('Financial Ratios'!F14&lt;0.5,20,IF('Financial Ratios'!F14&lt;1,15,IF('Financial Ratios'!F14&lt;2,10,5)))</f>
        <v>15</v>
      </c>
    </row>
    <row r="8" spans="1:6" ht="40" customHeight="1">
      <c r="A8" s="35" t="s">
        <v>97</v>
      </c>
      <c r="B8" s="23">
        <f>IF('Financial Ratios'!B16&gt;10%,20,IF('Financial Ratios'!B16&gt;5%,14,8))</f>
        <v>20</v>
      </c>
      <c r="C8" s="23">
        <f>IF('Financial Ratios'!C16&gt;10%,20,IF('Financial Ratios'!C16&gt;5%,14,8))</f>
        <v>14</v>
      </c>
      <c r="D8" s="23">
        <f>IF('Financial Ratios'!D16&gt;10%,20,IF('Financial Ratios'!D16&gt;5%,14,8))</f>
        <v>20</v>
      </c>
      <c r="E8" s="23">
        <f>IF('Financial Ratios'!E16&gt;10%,20,IF('Financial Ratios'!E16&gt;5%,14,8))</f>
        <v>20</v>
      </c>
      <c r="F8" s="47">
        <f>IF('Financial Ratios'!F16&gt;10%,20,IF('Financial Ratios'!F16&gt;5%,14,8))</f>
        <v>20</v>
      </c>
    </row>
    <row r="9" spans="1:6" ht="40" customHeight="1">
      <c r="A9" s="35" t="s">
        <v>98</v>
      </c>
      <c r="B9" s="23">
        <f>10</f>
        <v>10</v>
      </c>
      <c r="C9" s="23">
        <f>IF(AND('Growth Analysis'!C5&gt;0,'Growth Analysis'!C6&gt;0),20,IF('Growth Analysis'!C5&gt;0,12,6))</f>
        <v>12</v>
      </c>
      <c r="D9" s="23">
        <f>IF(AND('Growth Analysis'!D5&gt;0,'Growth Analysis'!D6&gt;0),20,IF('Growth Analysis'!D5&gt;0,12,6))</f>
        <v>12</v>
      </c>
      <c r="E9" s="23">
        <f>IF(AND('Growth Analysis'!E5&gt;0,'Growth Analysis'!E6&gt;0),20,IF('Growth Analysis'!E5&gt;0,12,6))</f>
        <v>20</v>
      </c>
      <c r="F9" s="47">
        <f>IF(AND('Growth Analysis'!F5&gt;0,'Growth Analysis'!F6&gt;0),20,IF('Growth Analysis'!F5&gt;0,12,6))</f>
        <v>12</v>
      </c>
    </row>
    <row r="10" spans="1:6" ht="40" customHeight="1">
      <c r="A10" s="35" t="s">
        <v>99</v>
      </c>
      <c r="B10" s="23">
        <f>SUM(B5:B9)</f>
        <v>47</v>
      </c>
      <c r="C10" s="23">
        <f>SUM(C5:C9)</f>
        <v>43</v>
      </c>
      <c r="D10" s="23">
        <f>SUM(D5:D9)</f>
        <v>57</v>
      </c>
      <c r="E10" s="23">
        <f>SUM(E5:E9)</f>
        <v>78</v>
      </c>
      <c r="F10" s="47">
        <f>SUM(F5:F9)</f>
        <v>75</v>
      </c>
    </row>
    <row r="11" spans="1:6" ht="40" customHeight="1">
      <c r="A11" s="38" t="s">
        <v>100</v>
      </c>
      <c r="B11" s="48" t="str">
        <f>IF(B10&gt;=80,"Strong",IF(B10&gt;=60,"Moderate","Weak"))</f>
        <v>Weak</v>
      </c>
      <c r="C11" s="48" t="str">
        <f>IF(C10&gt;=80,"Strong",IF(C10&gt;=60,"Moderate","Weak"))</f>
        <v>Weak</v>
      </c>
      <c r="D11" s="48" t="str">
        <f>IF(D10&gt;=80,"Strong",IF(D10&gt;=60,"Moderate","Weak"))</f>
        <v>Weak</v>
      </c>
      <c r="E11" s="48" t="str">
        <f>IF(E10&gt;=80,"Strong",IF(E10&gt;=60,"Moderate","Weak"))</f>
        <v>Moderate</v>
      </c>
      <c r="F11" s="49" t="str">
        <f>IF(F10&gt;=80,"Strong",IF(F10&gt;=60,"Moderate","Weak"))</f>
        <v>Moderate</v>
      </c>
    </row>
    <row r="12" spans="1:6" ht="22.8" customHeight="1">
      <c r="A12" s="4"/>
      <c r="B12" s="2"/>
      <c r="C12" s="2"/>
      <c r="D12" s="2"/>
      <c r="E12" s="2"/>
      <c r="F12" s="3"/>
    </row>
    <row r="13" spans="1:6" s="28" customFormat="1" ht="45" customHeight="1">
      <c r="A13" s="50" t="s">
        <v>101</v>
      </c>
      <c r="B13" s="51"/>
      <c r="C13" s="51"/>
      <c r="D13" s="51"/>
      <c r="E13" s="51"/>
      <c r="F13" s="51"/>
    </row>
    <row r="14" spans="1:6" s="28" customFormat="1" ht="45" customHeight="1">
      <c r="A14" s="50" t="s">
        <v>102</v>
      </c>
      <c r="B14" s="51"/>
      <c r="C14" s="51"/>
      <c r="D14" s="51"/>
      <c r="E14" s="51"/>
      <c r="F14" s="51"/>
    </row>
    <row r="15" spans="1:6" s="28" customFormat="1" ht="45" customHeight="1">
      <c r="A15" s="50" t="s">
        <v>103</v>
      </c>
      <c r="B15" s="51"/>
      <c r="C15" s="51"/>
      <c r="D15" s="51"/>
      <c r="E15" s="51"/>
      <c r="F15" s="51"/>
    </row>
    <row r="16" spans="1:6" s="28" customFormat="1" ht="45" customHeight="1">
      <c r="A16" s="50" t="s">
        <v>104</v>
      </c>
      <c r="B16" s="51"/>
      <c r="C16" s="51"/>
      <c r="D16" s="51"/>
      <c r="E16" s="51"/>
      <c r="F16" s="51"/>
    </row>
    <row r="17" spans="1:6" s="28" customFormat="1" ht="45" customHeight="1">
      <c r="A17" s="50" t="s">
        <v>105</v>
      </c>
      <c r="B17" s="51"/>
      <c r="C17" s="51"/>
      <c r="D17" s="51"/>
      <c r="E17" s="51"/>
      <c r="F17" s="51"/>
    </row>
    <row r="18" spans="1:6" s="28" customFormat="1" ht="45" customHeight="1">
      <c r="A18" s="50" t="s">
        <v>106</v>
      </c>
      <c r="B18" s="51"/>
      <c r="C18" s="51"/>
      <c r="D18" s="51"/>
      <c r="E18" s="51"/>
      <c r="F18" s="5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D11" sqref="D11"/>
    </sheetView>
  </sheetViews>
  <sheetFormatPr defaultRowHeight="13.8"/>
  <cols>
    <col min="1" max="1" width="36" customWidth="1"/>
    <col min="2" max="2" width="50" customWidth="1"/>
    <col min="3" max="3" width="70" customWidth="1"/>
  </cols>
  <sheetData>
    <row r="1" spans="1:6" ht="22.5" customHeight="1">
      <c r="A1" s="57" t="s">
        <v>107</v>
      </c>
      <c r="B1" s="58"/>
      <c r="C1" s="58"/>
      <c r="D1" s="58"/>
      <c r="E1" s="58"/>
      <c r="F1" s="58"/>
    </row>
    <row r="2" spans="1:6" s="24" customFormat="1" ht="25.5" customHeight="1">
      <c r="A2" s="61" t="s">
        <v>108</v>
      </c>
      <c r="B2" s="58"/>
      <c r="C2" s="58"/>
      <c r="D2" s="58"/>
      <c r="E2" s="58"/>
      <c r="F2" s="58"/>
    </row>
    <row r="4" spans="1:6" s="28" customFormat="1" ht="45" customHeight="1">
      <c r="A4" s="32" t="s">
        <v>109</v>
      </c>
      <c r="B4" s="52" t="s">
        <v>110</v>
      </c>
      <c r="C4" s="53" t="s">
        <v>111</v>
      </c>
    </row>
    <row r="5" spans="1:6" s="28" customFormat="1" ht="45" customHeight="1">
      <c r="A5" s="35" t="s">
        <v>112</v>
      </c>
      <c r="B5" s="41" t="s">
        <v>113</v>
      </c>
      <c r="C5" s="54" t="s">
        <v>114</v>
      </c>
    </row>
    <row r="6" spans="1:6" s="28" customFormat="1" ht="45" customHeight="1">
      <c r="A6" s="35" t="s">
        <v>115</v>
      </c>
      <c r="B6" s="41" t="s">
        <v>116</v>
      </c>
      <c r="C6" s="54" t="s">
        <v>117</v>
      </c>
    </row>
    <row r="7" spans="1:6" s="28" customFormat="1" ht="45" customHeight="1">
      <c r="A7" s="35" t="s">
        <v>118</v>
      </c>
      <c r="B7" s="41" t="s">
        <v>119</v>
      </c>
      <c r="C7" s="54" t="s">
        <v>120</v>
      </c>
    </row>
    <row r="8" spans="1:6" s="28" customFormat="1" ht="45" customHeight="1">
      <c r="A8" s="35" t="s">
        <v>121</v>
      </c>
      <c r="B8" s="41" t="s">
        <v>122</v>
      </c>
      <c r="C8" s="54" t="s">
        <v>123</v>
      </c>
    </row>
    <row r="9" spans="1:6" s="28" customFormat="1" ht="45" customHeight="1">
      <c r="A9" s="35" t="s">
        <v>124</v>
      </c>
      <c r="B9" s="41" t="s">
        <v>125</v>
      </c>
      <c r="C9" s="54" t="s">
        <v>126</v>
      </c>
    </row>
    <row r="10" spans="1:6" s="28" customFormat="1" ht="45" customHeight="1">
      <c r="A10" s="35" t="s">
        <v>127</v>
      </c>
      <c r="B10" s="41" t="s">
        <v>128</v>
      </c>
      <c r="C10" s="54" t="s">
        <v>129</v>
      </c>
    </row>
    <row r="11" spans="1:6" s="28" customFormat="1" ht="45" customHeight="1">
      <c r="A11" s="38" t="s">
        <v>130</v>
      </c>
      <c r="B11" s="55" t="s">
        <v>131</v>
      </c>
      <c r="C11" s="56" t="s">
        <v>132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Summary</vt:lpstr>
      <vt:lpstr>Income Statement</vt:lpstr>
      <vt:lpstr>Balance Sheet</vt:lpstr>
      <vt:lpstr>Cash Flow Statement</vt:lpstr>
      <vt:lpstr>Financial Ratios</vt:lpstr>
      <vt:lpstr>Growth Analysis</vt:lpstr>
      <vt:lpstr>Business Health Scorecard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Vatsal Goel</cp:lastModifiedBy>
  <dcterms:modified xsi:type="dcterms:W3CDTF">2026-05-27T19:45:32Z</dcterms:modified>
</cp:coreProperties>
</file>